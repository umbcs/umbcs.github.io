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mb-my.sharepoint.com/personal/gemma_galecia_umb_edu/Documents/Computer Science/01 Semesterly/2026 Summer and Fall/"/>
    </mc:Choice>
  </mc:AlternateContent>
  <xr:revisionPtr revIDLastSave="0" documentId="8_{7F4B0B67-B75C-4A24-B9AA-A34B0DBFC71B}" xr6:coauthVersionLast="47" xr6:coauthVersionMax="47" xr10:uidLastSave="{00000000-0000-0000-0000-000000000000}"/>
  <bookViews>
    <workbookView xWindow="28605" yWindow="2895" windowWidth="21600" windowHeight="14640" xr2:uid="{22907667-FC5F-452A-B4A9-CF7C78BDE786}"/>
  </bookViews>
  <sheets>
    <sheet name="CSIT 26Su (SS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C2" i="1"/>
  <c r="E2" i="1"/>
  <c r="B3" i="1"/>
  <c r="C3" i="1"/>
  <c r="E3" i="1"/>
  <c r="B4" i="1"/>
  <c r="C4" i="1"/>
  <c r="E4" i="1"/>
  <c r="B5" i="1"/>
  <c r="C5" i="1"/>
  <c r="E5" i="1"/>
  <c r="B6" i="1"/>
  <c r="C6" i="1"/>
  <c r="E6" i="1"/>
  <c r="B7" i="1"/>
  <c r="C7" i="1"/>
  <c r="E7" i="1"/>
  <c r="B8" i="1"/>
  <c r="C8" i="1"/>
  <c r="E8" i="1"/>
  <c r="B9" i="1"/>
  <c r="C9" i="1"/>
  <c r="E9" i="1"/>
  <c r="B10" i="1"/>
  <c r="C10" i="1"/>
  <c r="E10" i="1"/>
</calcChain>
</file>

<file path=xl/sharedStrings.xml><?xml version="1.0" encoding="utf-8"?>
<sst xmlns="http://schemas.openxmlformats.org/spreadsheetml/2006/main" count="69" uniqueCount="41">
  <si>
    <t>Kateregga,Noordeen</t>
  </si>
  <si>
    <t>TBA</t>
  </si>
  <si>
    <t>ON-LINE</t>
  </si>
  <si>
    <t>Project Management</t>
  </si>
  <si>
    <t>IT</t>
  </si>
  <si>
    <t>Liang,Xiaohui</t>
  </si>
  <si>
    <t>MW</t>
  </si>
  <si>
    <t>01:00PM</t>
  </si>
  <si>
    <t>10:00AM</t>
  </si>
  <si>
    <t>Y03-3370</t>
  </si>
  <si>
    <t>Cybersecurity in the Internet of Things</t>
  </si>
  <si>
    <t>CS</t>
  </si>
  <si>
    <t>Practicum in Computer Science</t>
  </si>
  <si>
    <t>Perez,Beatrice Maria</t>
  </si>
  <si>
    <t>TuTh</t>
  </si>
  <si>
    <t>09:00PM</t>
  </si>
  <si>
    <t>06:00PM</t>
  </si>
  <si>
    <t>Y04-4100</t>
  </si>
  <si>
    <t>Advanced Data Structures and Algorithms</t>
  </si>
  <si>
    <t>Pham,Que Anh</t>
  </si>
  <si>
    <t>04:30PM</t>
  </si>
  <si>
    <t>01:30PM</t>
  </si>
  <si>
    <t>Y04-4160</t>
  </si>
  <si>
    <t>Introduction to Cognitive Science</t>
  </si>
  <si>
    <t>Sepahyar,Soheil</t>
  </si>
  <si>
    <t>Y04-4120</t>
  </si>
  <si>
    <t>Programming in C</t>
  </si>
  <si>
    <t>Kodavati,Satya Naga Srikar</t>
  </si>
  <si>
    <t>Tu</t>
  </si>
  <si>
    <t>05:45PM</t>
  </si>
  <si>
    <t>Introduction to Computing</t>
  </si>
  <si>
    <t>Emp Name</t>
  </si>
  <si>
    <t>Mtg Ptrn</t>
  </si>
  <si>
    <t>Mtg End</t>
  </si>
  <si>
    <t>Mtg Start</t>
  </si>
  <si>
    <t>Fac Id</t>
  </si>
  <si>
    <t>Cls #</t>
  </si>
  <si>
    <t>Title</t>
  </si>
  <si>
    <t>Sect</t>
  </si>
  <si>
    <t>Ctlg #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</si>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</sst>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C00F-3B6E-46D0-A063-9D68F88DEE01}">
  <dimension ref="A1:J10"/>
  <sheetViews>
    <sheetView tabSelected="1" workbookViewId="0">
      <selection activeCell="D12" sqref="D12"/>
    </sheetView>
  </sheetViews>
  <sheetFormatPr defaultRowHeight="15" x14ac:dyDescent="0.25"/>
  <cols>
    <col min="5" max="5" width="11.140625" customWidth="1"/>
  </cols>
  <sheetData>
    <row r="1" spans="1:10" x14ac:dyDescent="0.25">
      <c r="A1" t="s">
        <v>40</v>
      </c>
      <c r="B1" t="s">
        <v>39</v>
      </c>
      <c r="C1" t="s">
        <v>38</v>
      </c>
      <c r="D1" t="s">
        <v>37</v>
      </c>
      <c r="E1" t="s">
        <v>36</v>
      </c>
      <c r="F1" t="s">
        <v>35</v>
      </c>
      <c r="G1" t="s">
        <v>34</v>
      </c>
      <c r="H1" t="s">
        <v>33</v>
      </c>
      <c r="I1" t="s">
        <v>32</v>
      </c>
      <c r="J1" t="s">
        <v>31</v>
      </c>
    </row>
    <row r="2" spans="1:10" x14ac:dyDescent="0.25">
      <c r="A2" t="s">
        <v>11</v>
      </c>
      <c r="B2" t="str">
        <f>" 110"</f>
        <v xml:space="preserve"> 110</v>
      </c>
      <c r="C2" t="str">
        <f>"02"</f>
        <v>02</v>
      </c>
      <c r="D2" t="s">
        <v>30</v>
      </c>
      <c r="E2" t="str">
        <f>"1247"</f>
        <v>1247</v>
      </c>
      <c r="F2" t="s">
        <v>25</v>
      </c>
      <c r="G2" t="s">
        <v>21</v>
      </c>
      <c r="H2" t="s">
        <v>20</v>
      </c>
      <c r="I2" t="s">
        <v>14</v>
      </c>
      <c r="J2" t="s">
        <v>27</v>
      </c>
    </row>
    <row r="3" spans="1:10" x14ac:dyDescent="0.25">
      <c r="A3" t="s">
        <v>11</v>
      </c>
      <c r="B3" t="str">
        <f>" 110"</f>
        <v xml:space="preserve"> 110</v>
      </c>
      <c r="C3" t="str">
        <f>"03D"</f>
        <v>03D</v>
      </c>
      <c r="D3" t="s">
        <v>30</v>
      </c>
      <c r="E3" t="str">
        <f>"1248"</f>
        <v>1248</v>
      </c>
      <c r="F3" t="s">
        <v>17</v>
      </c>
      <c r="G3" t="s">
        <v>20</v>
      </c>
      <c r="H3" t="s">
        <v>29</v>
      </c>
      <c r="I3" t="s">
        <v>28</v>
      </c>
      <c r="J3" t="s">
        <v>27</v>
      </c>
    </row>
    <row r="4" spans="1:10" x14ac:dyDescent="0.25">
      <c r="A4" t="s">
        <v>11</v>
      </c>
      <c r="B4" t="str">
        <f>" 240"</f>
        <v xml:space="preserve"> 240</v>
      </c>
      <c r="C4" t="str">
        <f>"01"</f>
        <v>01</v>
      </c>
      <c r="D4" t="s">
        <v>26</v>
      </c>
      <c r="E4" t="str">
        <f>"1249"</f>
        <v>1249</v>
      </c>
      <c r="F4" t="s">
        <v>25</v>
      </c>
      <c r="G4" t="s">
        <v>8</v>
      </c>
      <c r="H4" t="s">
        <v>7</v>
      </c>
      <c r="I4" t="s">
        <v>14</v>
      </c>
      <c r="J4" t="s">
        <v>24</v>
      </c>
    </row>
    <row r="5" spans="1:10" x14ac:dyDescent="0.25">
      <c r="A5" t="s">
        <v>11</v>
      </c>
      <c r="B5" t="str">
        <f>" 271L"</f>
        <v xml:space="preserve"> 271L</v>
      </c>
      <c r="C5" t="str">
        <f>"01"</f>
        <v>01</v>
      </c>
      <c r="D5" t="s">
        <v>23</v>
      </c>
      <c r="E5" t="str">
        <f>"2604"</f>
        <v>2604</v>
      </c>
      <c r="F5" t="s">
        <v>22</v>
      </c>
      <c r="G5" t="s">
        <v>21</v>
      </c>
      <c r="H5" t="s">
        <v>20</v>
      </c>
      <c r="I5" t="s">
        <v>6</v>
      </c>
      <c r="J5" t="s">
        <v>19</v>
      </c>
    </row>
    <row r="6" spans="1:10" x14ac:dyDescent="0.25">
      <c r="A6" t="s">
        <v>11</v>
      </c>
      <c r="B6" t="str">
        <f>" 310"</f>
        <v xml:space="preserve"> 310</v>
      </c>
      <c r="C6" t="str">
        <f>"01"</f>
        <v>01</v>
      </c>
      <c r="D6" t="s">
        <v>18</v>
      </c>
      <c r="E6" t="str">
        <f>"1250"</f>
        <v>1250</v>
      </c>
      <c r="F6" t="s">
        <v>17</v>
      </c>
      <c r="G6" t="s">
        <v>16</v>
      </c>
      <c r="H6" t="s">
        <v>15</v>
      </c>
      <c r="I6" t="s">
        <v>14</v>
      </c>
      <c r="J6" t="s">
        <v>13</v>
      </c>
    </row>
    <row r="7" spans="1:10" x14ac:dyDescent="0.25">
      <c r="A7" t="s">
        <v>11</v>
      </c>
      <c r="B7" t="str">
        <f>" 442"</f>
        <v xml:space="preserve"> 442</v>
      </c>
      <c r="C7" t="str">
        <f>"01"</f>
        <v>01</v>
      </c>
      <c r="D7" t="s">
        <v>10</v>
      </c>
      <c r="E7" t="str">
        <f>"1373"</f>
        <v>1373</v>
      </c>
      <c r="F7" t="s">
        <v>9</v>
      </c>
      <c r="G7" t="s">
        <v>8</v>
      </c>
      <c r="H7" t="s">
        <v>7</v>
      </c>
      <c r="I7" t="s">
        <v>6</v>
      </c>
      <c r="J7" t="s">
        <v>5</v>
      </c>
    </row>
    <row r="8" spans="1:10" x14ac:dyDescent="0.25">
      <c r="A8" t="s">
        <v>11</v>
      </c>
      <c r="B8" t="str">
        <f>" 495"</f>
        <v xml:space="preserve"> 495</v>
      </c>
      <c r="C8" t="str">
        <f>"05"</f>
        <v>05</v>
      </c>
      <c r="D8" t="s">
        <v>12</v>
      </c>
      <c r="E8" t="str">
        <f>"1391"</f>
        <v>1391</v>
      </c>
      <c r="F8" t="s">
        <v>2</v>
      </c>
      <c r="I8" t="s">
        <v>1</v>
      </c>
      <c r="J8" t="s">
        <v>5</v>
      </c>
    </row>
    <row r="9" spans="1:10" x14ac:dyDescent="0.25">
      <c r="A9" t="s">
        <v>11</v>
      </c>
      <c r="B9" t="str">
        <f>" 642"</f>
        <v xml:space="preserve"> 642</v>
      </c>
      <c r="C9" t="str">
        <f>"01"</f>
        <v>01</v>
      </c>
      <c r="D9" t="s">
        <v>10</v>
      </c>
      <c r="E9" t="str">
        <f>"1374"</f>
        <v>1374</v>
      </c>
      <c r="F9" t="s">
        <v>9</v>
      </c>
      <c r="G9" t="s">
        <v>8</v>
      </c>
      <c r="H9" t="s">
        <v>7</v>
      </c>
      <c r="I9" t="s">
        <v>6</v>
      </c>
      <c r="J9" t="s">
        <v>5</v>
      </c>
    </row>
    <row r="10" spans="1:10" x14ac:dyDescent="0.25">
      <c r="A10" t="s">
        <v>4</v>
      </c>
      <c r="B10" t="str">
        <f>" 425L"</f>
        <v xml:space="preserve"> 425L</v>
      </c>
      <c r="C10" t="str">
        <f>"01"</f>
        <v>01</v>
      </c>
      <c r="D10" t="s">
        <v>3</v>
      </c>
      <c r="E10" t="str">
        <f>"1263"</f>
        <v>1263</v>
      </c>
      <c r="F10" t="s">
        <v>2</v>
      </c>
      <c r="I10" t="s">
        <v>1</v>
      </c>
      <c r="J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CSIT 26Su (SS2)</vt:lpstr>
    </vt:vector>
  </TitlesOfParts>
  <Company>University of Massachusetts Boston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Galecia</dc:creator>
  <cp:lastModifiedBy>Gemma Galecia</cp:lastModifiedBy>
  <dcterms:created xsi:type="dcterms:W3CDTF">2026-05-20T19:33:46Z</dcterms:created>
  <dcterms:modified xsi:type="dcterms:W3CDTF">2026-05-20T19:34:16Z</dcterms:modified>
</cp:coreProperties>
</file>