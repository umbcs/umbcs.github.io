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b-my.sharepoint.com/personal/gemma_galecia_umb_edu/Documents/Computer Science/01 Semesterly/2026 Summer and Fall/"/>
    </mc:Choice>
  </mc:AlternateContent>
  <xr:revisionPtr revIDLastSave="0" documentId="8_{5E8E1A34-7CD5-4B38-904C-B3E3F60B8458}" xr6:coauthVersionLast="47" xr6:coauthVersionMax="47" xr10:uidLastSave="{00000000-0000-0000-0000-000000000000}"/>
  <bookViews>
    <workbookView xWindow="28680" yWindow="-120" windowWidth="29040" windowHeight="15720" xr2:uid="{1FF072A7-C971-42E4-965C-E003E2F8FA16}"/>
  </bookViews>
  <sheets>
    <sheet name="CSIT 26Su (SS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E2" i="1"/>
  <c r="B3" i="1"/>
  <c r="C3" i="1"/>
  <c r="E3" i="1"/>
  <c r="B4" i="1"/>
  <c r="C4" i="1"/>
  <c r="E4" i="1"/>
  <c r="B5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  <c r="B11" i="1"/>
  <c r="C11" i="1"/>
  <c r="E11" i="1"/>
</calcChain>
</file>

<file path=xl/sharedStrings.xml><?xml version="1.0" encoding="utf-8"?>
<sst xmlns="http://schemas.openxmlformats.org/spreadsheetml/2006/main" count="60" uniqueCount="26">
  <si>
    <t>Soares Cogumbreiro Garcia,Tiago</t>
  </si>
  <si>
    <t>TBA</t>
  </si>
  <si>
    <t xml:space="preserve"> </t>
  </si>
  <si>
    <t>Practicum in CS</t>
  </si>
  <si>
    <t>CS</t>
  </si>
  <si>
    <t>Ding,Wei</t>
  </si>
  <si>
    <t>Durupinar Babur,Funda</t>
  </si>
  <si>
    <t>ON-LINE</t>
  </si>
  <si>
    <t>Liang,Xiaohui</t>
  </si>
  <si>
    <t>Pei,Shichao</t>
  </si>
  <si>
    <t>Soro,Torna Omar</t>
  </si>
  <si>
    <t>Practicum in Computer Science</t>
  </si>
  <si>
    <t>Wan,Yinxin</t>
  </si>
  <si>
    <t>Haspel,Nurit</t>
  </si>
  <si>
    <t>Tran,Duc</t>
  </si>
  <si>
    <t>Sheng,Bo</t>
  </si>
  <si>
    <t>Emp Name</t>
  </si>
  <si>
    <t>Mtg Ptrn</t>
  </si>
  <si>
    <t>Mtg End</t>
  </si>
  <si>
    <t>Mtg Start</t>
  </si>
  <si>
    <t>Fac Id</t>
  </si>
  <si>
    <t>Cls #</t>
  </si>
  <si>
    <t>Title</t>
  </si>
  <si>
    <t>Sect</t>
  </si>
  <si>
    <t>Ctlg #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</si>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</sst>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BE04-B3C9-4ECB-B4FC-C64939C02F81}">
  <dimension ref="A1:J11"/>
  <sheetViews>
    <sheetView tabSelected="1" workbookViewId="0">
      <selection activeCell="I25" sqref="I25"/>
    </sheetView>
  </sheetViews>
  <sheetFormatPr defaultRowHeight="15" x14ac:dyDescent="0.25"/>
  <sheetData>
    <row r="1" spans="1:10" x14ac:dyDescent="0.25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</row>
    <row r="2" spans="1:10" x14ac:dyDescent="0.25">
      <c r="A2" t="s">
        <v>4</v>
      </c>
      <c r="B2" t="str">
        <f>" 495"</f>
        <v xml:space="preserve"> 495</v>
      </c>
      <c r="C2" t="str">
        <f>"01"</f>
        <v>01</v>
      </c>
      <c r="D2" t="s">
        <v>11</v>
      </c>
      <c r="E2" t="str">
        <f>"1495"</f>
        <v>1495</v>
      </c>
      <c r="F2" t="s">
        <v>7</v>
      </c>
      <c r="I2" t="s">
        <v>1</v>
      </c>
      <c r="J2" t="s">
        <v>15</v>
      </c>
    </row>
    <row r="3" spans="1:10" x14ac:dyDescent="0.25">
      <c r="A3" t="s">
        <v>4</v>
      </c>
      <c r="B3" t="str">
        <f>" 495"</f>
        <v xml:space="preserve"> 495</v>
      </c>
      <c r="C3" t="str">
        <f>"02"</f>
        <v>02</v>
      </c>
      <c r="D3" t="s">
        <v>11</v>
      </c>
      <c r="E3" t="str">
        <f>"1496"</f>
        <v>1496</v>
      </c>
      <c r="F3" t="s">
        <v>7</v>
      </c>
      <c r="I3" t="s">
        <v>1</v>
      </c>
      <c r="J3" t="s">
        <v>14</v>
      </c>
    </row>
    <row r="4" spans="1:10" x14ac:dyDescent="0.25">
      <c r="A4" t="s">
        <v>4</v>
      </c>
      <c r="B4" t="str">
        <f>" 495"</f>
        <v xml:space="preserve"> 495</v>
      </c>
      <c r="C4" t="str">
        <f>"03"</f>
        <v>03</v>
      </c>
      <c r="D4" t="s">
        <v>11</v>
      </c>
      <c r="E4" t="str">
        <f>"1505"</f>
        <v>1505</v>
      </c>
      <c r="F4" t="s">
        <v>7</v>
      </c>
      <c r="I4" t="s">
        <v>1</v>
      </c>
      <c r="J4" t="s">
        <v>13</v>
      </c>
    </row>
    <row r="5" spans="1:10" x14ac:dyDescent="0.25">
      <c r="A5" t="s">
        <v>4</v>
      </c>
      <c r="B5" t="str">
        <f>" 495"</f>
        <v xml:space="preserve"> 495</v>
      </c>
      <c r="C5" t="str">
        <f>"04"</f>
        <v>04</v>
      </c>
      <c r="D5" t="s">
        <v>11</v>
      </c>
      <c r="E5" t="str">
        <f>"1512"</f>
        <v>1512</v>
      </c>
      <c r="F5" t="s">
        <v>7</v>
      </c>
      <c r="I5" t="s">
        <v>1</v>
      </c>
      <c r="J5" t="s">
        <v>12</v>
      </c>
    </row>
    <row r="6" spans="1:10" x14ac:dyDescent="0.25">
      <c r="A6" t="s">
        <v>4</v>
      </c>
      <c r="B6" t="str">
        <f>" 495"</f>
        <v xml:space="preserve"> 495</v>
      </c>
      <c r="C6" t="str">
        <f>"06"</f>
        <v>06</v>
      </c>
      <c r="D6" t="s">
        <v>11</v>
      </c>
      <c r="E6" t="str">
        <f>"1517"</f>
        <v>1517</v>
      </c>
      <c r="F6" t="s">
        <v>2</v>
      </c>
      <c r="I6" t="s">
        <v>1</v>
      </c>
      <c r="J6" t="s">
        <v>10</v>
      </c>
    </row>
    <row r="7" spans="1:10" x14ac:dyDescent="0.25">
      <c r="A7" t="s">
        <v>4</v>
      </c>
      <c r="B7" t="str">
        <f>" 698"</f>
        <v xml:space="preserve"> 698</v>
      </c>
      <c r="C7" t="str">
        <f>"01"</f>
        <v>01</v>
      </c>
      <c r="D7" t="s">
        <v>3</v>
      </c>
      <c r="E7" t="str">
        <f>"1506"</f>
        <v>1506</v>
      </c>
      <c r="F7" t="s">
        <v>7</v>
      </c>
      <c r="I7" t="s">
        <v>1</v>
      </c>
      <c r="J7" t="s">
        <v>9</v>
      </c>
    </row>
    <row r="8" spans="1:10" x14ac:dyDescent="0.25">
      <c r="A8" t="s">
        <v>4</v>
      </c>
      <c r="B8" t="str">
        <f>" 698"</f>
        <v xml:space="preserve"> 698</v>
      </c>
      <c r="C8" t="str">
        <f>"02"</f>
        <v>02</v>
      </c>
      <c r="D8" t="s">
        <v>3</v>
      </c>
      <c r="E8" t="str">
        <f>"1513"</f>
        <v>1513</v>
      </c>
      <c r="F8" t="s">
        <v>7</v>
      </c>
      <c r="I8" t="s">
        <v>1</v>
      </c>
      <c r="J8" t="s">
        <v>8</v>
      </c>
    </row>
    <row r="9" spans="1:10" x14ac:dyDescent="0.25">
      <c r="A9" t="s">
        <v>4</v>
      </c>
      <c r="B9" t="str">
        <f>" 698"</f>
        <v xml:space="preserve"> 698</v>
      </c>
      <c r="C9" t="str">
        <f>"03"</f>
        <v>03</v>
      </c>
      <c r="D9" t="s">
        <v>3</v>
      </c>
      <c r="E9" t="str">
        <f>"1515"</f>
        <v>1515</v>
      </c>
      <c r="F9" t="s">
        <v>7</v>
      </c>
      <c r="I9" t="s">
        <v>1</v>
      </c>
      <c r="J9" t="s">
        <v>6</v>
      </c>
    </row>
    <row r="10" spans="1:10" x14ac:dyDescent="0.25">
      <c r="A10" t="s">
        <v>4</v>
      </c>
      <c r="B10" t="str">
        <f>" 698"</f>
        <v xml:space="preserve"> 698</v>
      </c>
      <c r="C10" t="str">
        <f>"04"</f>
        <v>04</v>
      </c>
      <c r="D10" t="s">
        <v>3</v>
      </c>
      <c r="E10" t="str">
        <f>"1518"</f>
        <v>1518</v>
      </c>
      <c r="F10" t="s">
        <v>2</v>
      </c>
      <c r="I10" t="s">
        <v>1</v>
      </c>
      <c r="J10" t="s">
        <v>5</v>
      </c>
    </row>
    <row r="11" spans="1:10" x14ac:dyDescent="0.25">
      <c r="A11" t="s">
        <v>4</v>
      </c>
      <c r="B11" t="str">
        <f>" 698"</f>
        <v xml:space="preserve"> 698</v>
      </c>
      <c r="C11" t="str">
        <f>"05"</f>
        <v>05</v>
      </c>
      <c r="D11" t="s">
        <v>3</v>
      </c>
      <c r="E11" t="str">
        <f>"1519"</f>
        <v>1519</v>
      </c>
      <c r="F11" t="s">
        <v>2</v>
      </c>
      <c r="I11" t="s">
        <v>1</v>
      </c>
      <c r="J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CSIT 26Su (SS3)</vt:lpstr>
    </vt:vector>
  </TitlesOfParts>
  <Company>University of Massachusetts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Galecia</dc:creator>
  <cp:lastModifiedBy>Gemma Galecia</cp:lastModifiedBy>
  <dcterms:created xsi:type="dcterms:W3CDTF">2026-05-20T19:35:58Z</dcterms:created>
  <dcterms:modified xsi:type="dcterms:W3CDTF">2026-05-20T19:36:17Z</dcterms:modified>
</cp:coreProperties>
</file>