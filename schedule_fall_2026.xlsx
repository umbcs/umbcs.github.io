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mb-my.sharepoint.com/personal/gemma_galecia_umb_edu/Documents/Computer Science/01 Semesterly/2026 Summer and Fall/"/>
    </mc:Choice>
  </mc:AlternateContent>
  <xr:revisionPtr revIDLastSave="0" documentId="8_{50B37523-63F7-405D-9882-220F034DA1F3}" xr6:coauthVersionLast="47" xr6:coauthVersionMax="47" xr10:uidLastSave="{00000000-0000-0000-0000-000000000000}"/>
  <bookViews>
    <workbookView xWindow="28680" yWindow="-120" windowWidth="29040" windowHeight="15720" xr2:uid="{55290334-DA3F-4CF3-8469-8E05D98056DF}"/>
  </bookViews>
  <sheets>
    <sheet name="CSIT 26F (Web)" sheetId="1" r:id="rId1"/>
  </sheets>
  <definedNames>
    <definedName name="_xlnm.Print_Titles" localSheetId="0">'CSIT 26F (Web)'!$1:$1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C2" i="1"/>
  <c r="E2" i="1"/>
  <c r="B3" i="1"/>
  <c r="C3" i="1"/>
  <c r="E3" i="1"/>
  <c r="B4" i="1"/>
  <c r="C4" i="1"/>
  <c r="E4" i="1"/>
  <c r="B5" i="1"/>
  <c r="C5" i="1"/>
  <c r="E5" i="1"/>
  <c r="B6" i="1"/>
  <c r="C6" i="1"/>
  <c r="E6" i="1"/>
  <c r="B7" i="1"/>
  <c r="C7" i="1"/>
  <c r="E7" i="1"/>
  <c r="B8" i="1"/>
  <c r="C8" i="1"/>
  <c r="E8" i="1"/>
  <c r="B9" i="1"/>
  <c r="C9" i="1"/>
  <c r="E9" i="1"/>
  <c r="B10" i="1"/>
  <c r="C10" i="1"/>
  <c r="E10" i="1"/>
  <c r="B11" i="1"/>
  <c r="C11" i="1"/>
  <c r="E11" i="1"/>
  <c r="B12" i="1"/>
  <c r="C12" i="1"/>
  <c r="E12" i="1"/>
  <c r="B13" i="1"/>
  <c r="C13" i="1"/>
  <c r="E13" i="1"/>
  <c r="B14" i="1"/>
  <c r="C14" i="1"/>
  <c r="E14" i="1"/>
  <c r="B15" i="1"/>
  <c r="C15" i="1"/>
  <c r="E15" i="1"/>
  <c r="B16" i="1"/>
  <c r="C16" i="1"/>
  <c r="E16" i="1"/>
  <c r="B17" i="1"/>
  <c r="C17" i="1"/>
  <c r="E17" i="1"/>
  <c r="B18" i="1"/>
  <c r="C18" i="1"/>
  <c r="E18" i="1"/>
  <c r="B19" i="1"/>
  <c r="C19" i="1"/>
  <c r="E19" i="1"/>
  <c r="B20" i="1"/>
  <c r="C20" i="1"/>
  <c r="E20" i="1"/>
  <c r="B21" i="1"/>
  <c r="C21" i="1"/>
  <c r="E21" i="1"/>
  <c r="B22" i="1"/>
  <c r="C22" i="1"/>
  <c r="E22" i="1"/>
  <c r="B23" i="1"/>
  <c r="C23" i="1"/>
  <c r="E23" i="1"/>
  <c r="B24" i="1"/>
  <c r="C24" i="1"/>
  <c r="E24" i="1"/>
  <c r="B25" i="1"/>
  <c r="C25" i="1"/>
  <c r="E25" i="1"/>
  <c r="B26" i="1"/>
  <c r="C26" i="1"/>
  <c r="E26" i="1"/>
  <c r="B27" i="1"/>
  <c r="C27" i="1"/>
  <c r="E27" i="1"/>
  <c r="B28" i="1"/>
  <c r="C28" i="1"/>
  <c r="E28" i="1"/>
  <c r="B29" i="1"/>
  <c r="C29" i="1"/>
  <c r="E29" i="1"/>
  <c r="B30" i="1"/>
  <c r="C30" i="1"/>
  <c r="E30" i="1"/>
  <c r="B31" i="1"/>
  <c r="C31" i="1"/>
  <c r="E31" i="1"/>
  <c r="B32" i="1"/>
  <c r="C32" i="1"/>
  <c r="E32" i="1"/>
  <c r="B33" i="1"/>
  <c r="C33" i="1"/>
  <c r="E33" i="1"/>
  <c r="B34" i="1"/>
  <c r="C34" i="1"/>
  <c r="E34" i="1"/>
  <c r="B35" i="1"/>
  <c r="C35" i="1"/>
  <c r="E35" i="1"/>
  <c r="B36" i="1"/>
  <c r="C36" i="1"/>
  <c r="E36" i="1"/>
  <c r="B37" i="1"/>
  <c r="C37" i="1"/>
  <c r="E37" i="1"/>
  <c r="B38" i="1"/>
  <c r="C38" i="1"/>
  <c r="E38" i="1"/>
  <c r="B39" i="1"/>
  <c r="C39" i="1"/>
  <c r="E39" i="1"/>
  <c r="B40" i="1"/>
  <c r="C40" i="1"/>
  <c r="E40" i="1"/>
  <c r="B41" i="1"/>
  <c r="C41" i="1"/>
  <c r="E41" i="1"/>
  <c r="B42" i="1"/>
  <c r="C42" i="1"/>
  <c r="E42" i="1"/>
  <c r="B43" i="1"/>
  <c r="C43" i="1"/>
  <c r="E43" i="1"/>
  <c r="B44" i="1"/>
  <c r="C44" i="1"/>
  <c r="E44" i="1"/>
  <c r="B45" i="1"/>
  <c r="C45" i="1"/>
  <c r="E45" i="1"/>
  <c r="B46" i="1"/>
  <c r="C46" i="1"/>
  <c r="E46" i="1"/>
  <c r="B47" i="1"/>
  <c r="C47" i="1"/>
  <c r="E47" i="1"/>
  <c r="B48" i="1"/>
  <c r="C48" i="1"/>
  <c r="E48" i="1"/>
  <c r="B49" i="1"/>
  <c r="C49" i="1"/>
  <c r="E49" i="1"/>
  <c r="B50" i="1"/>
  <c r="C50" i="1"/>
  <c r="E50" i="1"/>
  <c r="B51" i="1"/>
  <c r="C51" i="1"/>
  <c r="E51" i="1"/>
  <c r="B52" i="1"/>
  <c r="C52" i="1"/>
  <c r="E52" i="1"/>
  <c r="B53" i="1"/>
  <c r="C53" i="1"/>
  <c r="E53" i="1"/>
  <c r="B54" i="1"/>
  <c r="C54" i="1"/>
  <c r="E54" i="1"/>
  <c r="B55" i="1"/>
  <c r="C55" i="1"/>
  <c r="E55" i="1"/>
  <c r="B56" i="1"/>
  <c r="C56" i="1"/>
  <c r="E56" i="1"/>
  <c r="B57" i="1"/>
  <c r="C57" i="1"/>
  <c r="E57" i="1"/>
  <c r="B58" i="1"/>
  <c r="C58" i="1"/>
  <c r="E58" i="1"/>
  <c r="B59" i="1"/>
  <c r="C59" i="1"/>
  <c r="E59" i="1"/>
  <c r="B60" i="1"/>
  <c r="C60" i="1"/>
  <c r="E60" i="1"/>
  <c r="B61" i="1"/>
  <c r="C61" i="1"/>
  <c r="E61" i="1"/>
  <c r="B62" i="1"/>
  <c r="C62" i="1"/>
  <c r="E62" i="1"/>
  <c r="B63" i="1"/>
  <c r="C63" i="1"/>
  <c r="E63" i="1"/>
  <c r="B64" i="1"/>
  <c r="C64" i="1"/>
  <c r="E64" i="1"/>
  <c r="B65" i="1"/>
  <c r="C65" i="1"/>
  <c r="E65" i="1"/>
  <c r="B66" i="1"/>
  <c r="C66" i="1"/>
  <c r="E66" i="1"/>
  <c r="B67" i="1"/>
  <c r="C67" i="1"/>
  <c r="E67" i="1"/>
  <c r="B68" i="1"/>
  <c r="C68" i="1"/>
  <c r="E68" i="1"/>
  <c r="B69" i="1"/>
  <c r="C69" i="1"/>
  <c r="E69" i="1"/>
  <c r="B70" i="1"/>
  <c r="C70" i="1"/>
  <c r="E70" i="1"/>
  <c r="B71" i="1"/>
  <c r="C71" i="1"/>
  <c r="E71" i="1"/>
  <c r="B72" i="1"/>
  <c r="C72" i="1"/>
  <c r="E72" i="1"/>
  <c r="B73" i="1"/>
  <c r="C73" i="1"/>
  <c r="E73" i="1"/>
  <c r="B74" i="1"/>
  <c r="C74" i="1"/>
  <c r="E74" i="1"/>
  <c r="B75" i="1"/>
  <c r="C75" i="1"/>
  <c r="E75" i="1"/>
  <c r="B76" i="1"/>
  <c r="C76" i="1"/>
  <c r="E76" i="1"/>
  <c r="B77" i="1"/>
  <c r="C77" i="1"/>
  <c r="E77" i="1"/>
  <c r="B78" i="1"/>
  <c r="C78" i="1"/>
  <c r="E78" i="1"/>
  <c r="B79" i="1"/>
  <c r="C79" i="1"/>
  <c r="E79" i="1"/>
  <c r="B80" i="1"/>
  <c r="C80" i="1"/>
  <c r="E80" i="1"/>
  <c r="B81" i="1"/>
  <c r="C81" i="1"/>
  <c r="E81" i="1"/>
  <c r="B82" i="1"/>
  <c r="C82" i="1"/>
  <c r="E82" i="1"/>
  <c r="B83" i="1"/>
  <c r="C83" i="1"/>
  <c r="E83" i="1"/>
  <c r="B84" i="1"/>
  <c r="C84" i="1"/>
  <c r="E84" i="1"/>
  <c r="B85" i="1"/>
  <c r="C85" i="1"/>
  <c r="E85" i="1"/>
  <c r="B86" i="1"/>
  <c r="C86" i="1"/>
  <c r="E86" i="1"/>
  <c r="B87" i="1"/>
  <c r="C87" i="1"/>
  <c r="E87" i="1"/>
  <c r="B88" i="1"/>
  <c r="C88" i="1"/>
  <c r="E88" i="1"/>
  <c r="B89" i="1"/>
  <c r="C89" i="1"/>
  <c r="E89" i="1"/>
  <c r="B90" i="1"/>
  <c r="C90" i="1"/>
  <c r="E90" i="1"/>
  <c r="B91" i="1"/>
  <c r="C91" i="1"/>
  <c r="E91" i="1"/>
  <c r="B92" i="1"/>
  <c r="C92" i="1"/>
  <c r="E92" i="1"/>
  <c r="B93" i="1"/>
  <c r="C93" i="1"/>
  <c r="E93" i="1"/>
  <c r="B94" i="1"/>
  <c r="C94" i="1"/>
  <c r="E94" i="1"/>
  <c r="B95" i="1"/>
  <c r="C95" i="1"/>
  <c r="E95" i="1"/>
  <c r="B96" i="1"/>
  <c r="C96" i="1"/>
  <c r="E96" i="1"/>
  <c r="B97" i="1"/>
  <c r="C97" i="1"/>
  <c r="E97" i="1"/>
  <c r="B98" i="1"/>
  <c r="C98" i="1"/>
  <c r="E98" i="1"/>
  <c r="B99" i="1"/>
  <c r="C99" i="1"/>
  <c r="E99" i="1"/>
  <c r="B100" i="1"/>
  <c r="C100" i="1"/>
  <c r="E100" i="1"/>
  <c r="B101" i="1"/>
  <c r="C101" i="1"/>
  <c r="E101" i="1"/>
  <c r="B102" i="1"/>
  <c r="C102" i="1"/>
  <c r="E102" i="1"/>
  <c r="B103" i="1"/>
  <c r="C103" i="1"/>
  <c r="E103" i="1"/>
  <c r="B104" i="1"/>
  <c r="C104" i="1"/>
  <c r="E104" i="1"/>
  <c r="B105" i="1"/>
  <c r="C105" i="1"/>
  <c r="E105" i="1"/>
  <c r="B106" i="1"/>
  <c r="C106" i="1"/>
  <c r="E106" i="1"/>
  <c r="B107" i="1"/>
  <c r="C107" i="1"/>
  <c r="E107" i="1"/>
  <c r="B108" i="1"/>
  <c r="C108" i="1"/>
  <c r="E108" i="1"/>
  <c r="B109" i="1"/>
  <c r="C109" i="1"/>
  <c r="E109" i="1"/>
  <c r="B110" i="1"/>
  <c r="C110" i="1"/>
  <c r="E110" i="1"/>
  <c r="B111" i="1"/>
  <c r="C111" i="1"/>
  <c r="E111" i="1"/>
  <c r="B112" i="1"/>
  <c r="C112" i="1"/>
  <c r="E112" i="1"/>
  <c r="B113" i="1"/>
  <c r="C113" i="1"/>
  <c r="E113" i="1"/>
  <c r="B114" i="1"/>
  <c r="C114" i="1"/>
  <c r="E114" i="1"/>
  <c r="B115" i="1"/>
  <c r="C115" i="1"/>
  <c r="E115" i="1"/>
  <c r="B116" i="1"/>
  <c r="C116" i="1"/>
  <c r="E116" i="1"/>
  <c r="B117" i="1"/>
  <c r="C117" i="1"/>
  <c r="E117" i="1"/>
  <c r="B118" i="1"/>
  <c r="C118" i="1"/>
  <c r="E118" i="1"/>
  <c r="B119" i="1"/>
  <c r="C119" i="1"/>
  <c r="E119" i="1"/>
  <c r="B120" i="1"/>
  <c r="C120" i="1"/>
  <c r="E120" i="1"/>
  <c r="B121" i="1"/>
  <c r="C121" i="1"/>
  <c r="E121" i="1"/>
  <c r="B122" i="1"/>
  <c r="C122" i="1"/>
  <c r="E122" i="1"/>
  <c r="B123" i="1"/>
  <c r="C123" i="1"/>
  <c r="E123" i="1"/>
  <c r="B124" i="1"/>
  <c r="C124" i="1"/>
  <c r="E124" i="1"/>
  <c r="B125" i="1"/>
  <c r="C125" i="1"/>
  <c r="E125" i="1"/>
  <c r="B126" i="1"/>
  <c r="C126" i="1"/>
  <c r="E126" i="1"/>
  <c r="B127" i="1"/>
  <c r="C127" i="1"/>
  <c r="E127" i="1"/>
  <c r="B128" i="1"/>
  <c r="C128" i="1"/>
  <c r="E128" i="1"/>
  <c r="B129" i="1"/>
  <c r="C129" i="1"/>
  <c r="E129" i="1"/>
  <c r="B130" i="1"/>
  <c r="C130" i="1"/>
  <c r="E130" i="1"/>
  <c r="B131" i="1"/>
  <c r="C131" i="1"/>
  <c r="E131" i="1"/>
</calcChain>
</file>

<file path=xl/sharedStrings.xml><?xml version="1.0" encoding="utf-8"?>
<sst xmlns="http://schemas.openxmlformats.org/spreadsheetml/2006/main" count="829" uniqueCount="152">
  <si>
    <t>Zhang,Honggang</t>
  </si>
  <si>
    <t>TBA</t>
  </si>
  <si>
    <t xml:space="preserve"> </t>
  </si>
  <si>
    <t>PhD Dissertation Research</t>
  </si>
  <si>
    <t>CS</t>
  </si>
  <si>
    <t>Liang,Xiaohui</t>
  </si>
  <si>
    <t>Haspel,Nurit</t>
  </si>
  <si>
    <t>Tran,Duc</t>
  </si>
  <si>
    <t>Haehn,Daniel Felix</t>
  </si>
  <si>
    <t>Sheng,Bo</t>
  </si>
  <si>
    <t>Ding,Wei</t>
  </si>
  <si>
    <t>Wan,Yinxin</t>
  </si>
  <si>
    <t>Cogumbreiro,Tiago</t>
  </si>
  <si>
    <t>Durupinar Babur,Funda</t>
  </si>
  <si>
    <t>Babur,Ozgun</t>
  </si>
  <si>
    <t>Research for MS Thesis</t>
  </si>
  <si>
    <t>Practicum in CS</t>
  </si>
  <si>
    <t>Fletcher,Kenneth Kofi</t>
  </si>
  <si>
    <t>Cogumbreiro ,Tiago</t>
  </si>
  <si>
    <t>Independent Study</t>
  </si>
  <si>
    <t>Chang,Stephen T</t>
  </si>
  <si>
    <t>Suzuki,Junichi</t>
  </si>
  <si>
    <t>Perez,Beatrice Maria</t>
  </si>
  <si>
    <t>TuTh</t>
  </si>
  <si>
    <t>08:15PM</t>
  </si>
  <si>
    <t>07:00PM</t>
  </si>
  <si>
    <t>W01-0047</t>
  </si>
  <si>
    <t>Software Development Laboratory I</t>
  </si>
  <si>
    <t>06:45PM</t>
  </si>
  <si>
    <t>05:30PM</t>
  </si>
  <si>
    <t>W01-0009</t>
  </si>
  <si>
    <t>Object-Oriented Software Development</t>
  </si>
  <si>
    <t>Y01-1320</t>
  </si>
  <si>
    <t>Object-Oriented Design and Programming</t>
  </si>
  <si>
    <t xml:space="preserve"> Imbiriba,Tales Cesar</t>
  </si>
  <si>
    <t>MW</t>
  </si>
  <si>
    <t>02:15PM</t>
  </si>
  <si>
    <t>01:00PM</t>
  </si>
  <si>
    <t>M01-0619</t>
  </si>
  <si>
    <t>Neural Networks</t>
  </si>
  <si>
    <t>Pei,Shichao</t>
  </si>
  <si>
    <t>W01-0005</t>
  </si>
  <si>
    <t>Artificial Intelligence</t>
  </si>
  <si>
    <t>Iyer,Swaminathan</t>
  </si>
  <si>
    <t>05:15PM</t>
  </si>
  <si>
    <t>04:00PM</t>
  </si>
  <si>
    <t>Y02-2120</t>
  </si>
  <si>
    <t>Compiler</t>
  </si>
  <si>
    <t>12:15PM</t>
  </si>
  <si>
    <t>11:00AM</t>
  </si>
  <si>
    <t>M03-0407</t>
  </si>
  <si>
    <t>Computer Communication Networks</t>
  </si>
  <si>
    <t>M01-0418</t>
  </si>
  <si>
    <t>Cybersecurity in the Internet of Things</t>
  </si>
  <si>
    <t>W01-0042</t>
  </si>
  <si>
    <t>Applied Machine Learning</t>
  </si>
  <si>
    <t>Y01-1300</t>
  </si>
  <si>
    <t>Database-Backed Websites</t>
  </si>
  <si>
    <t>Papon,Md Tarikul Islam</t>
  </si>
  <si>
    <t>03:15PM</t>
  </si>
  <si>
    <t>02:00PM</t>
  </si>
  <si>
    <t>W02-0125</t>
  </si>
  <si>
    <t>Architecture of Database Systems</t>
  </si>
  <si>
    <t>Ghinita,Gabriel</t>
  </si>
  <si>
    <t>M02-0423</t>
  </si>
  <si>
    <t>Database Management Systems</t>
  </si>
  <si>
    <t>Y04-4140</t>
  </si>
  <si>
    <t>Analysis of Algorithms</t>
  </si>
  <si>
    <t>Simovici,Dan</t>
  </si>
  <si>
    <t>M02-0404</t>
  </si>
  <si>
    <t>Theory of Computation</t>
  </si>
  <si>
    <t>User Interface Design</t>
  </si>
  <si>
    <t xml:space="preserve"> Cogumbreiro,Tiago</t>
  </si>
  <si>
    <t>Honors Thesis</t>
  </si>
  <si>
    <t>Practicum in Computer Science</t>
  </si>
  <si>
    <t>Banjo,Temitayo</t>
  </si>
  <si>
    <t>An Introduction to Artificial Intelligence</t>
  </si>
  <si>
    <t>W01-0062</t>
  </si>
  <si>
    <t>Computer Games Programming</t>
  </si>
  <si>
    <t>01:45PM</t>
  </si>
  <si>
    <t>12:30PM</t>
  </si>
  <si>
    <t>Y01-1350</t>
  </si>
  <si>
    <t>Graphics</t>
  </si>
  <si>
    <t>Compilers</t>
  </si>
  <si>
    <t>The Structure of Higher Level Languages</t>
  </si>
  <si>
    <t>W01-0006</t>
  </si>
  <si>
    <t>Introduction to Computer Security</t>
  </si>
  <si>
    <t>Introduction to Internetworking</t>
  </si>
  <si>
    <t>Deblois,Jane Holly</t>
  </si>
  <si>
    <t>W01-0004</t>
  </si>
  <si>
    <t>An Introduction to Operating Systems</t>
  </si>
  <si>
    <t>Database-Backed Web Sites &amp; Web Services</t>
  </si>
  <si>
    <t>Database Management</t>
  </si>
  <si>
    <t>M02-0116</t>
  </si>
  <si>
    <t>An Introduction to the Theory of Computation</t>
  </si>
  <si>
    <t>An Introduction to Software Engineering</t>
  </si>
  <si>
    <t>Tu</t>
  </si>
  <si>
    <t>W02-0060</t>
  </si>
  <si>
    <t>Computer Architecture and Organization</t>
  </si>
  <si>
    <t>Th</t>
  </si>
  <si>
    <t>09:45PM</t>
  </si>
  <si>
    <t>08:30PM</t>
  </si>
  <si>
    <t>Y02-2310</t>
  </si>
  <si>
    <t>Advanced Data Structures and Algorithms</t>
  </si>
  <si>
    <t>Potasznik,Amanda</t>
  </si>
  <si>
    <t>Social Issues and Ethics in Computing</t>
  </si>
  <si>
    <t>HLL-3507</t>
  </si>
  <si>
    <t>Programming in C</t>
  </si>
  <si>
    <t>Eusuf,Shadman Saqib</t>
  </si>
  <si>
    <t>Sepahyar,Soheil</t>
  </si>
  <si>
    <t>Y02-2110</t>
  </si>
  <si>
    <t>Applied Discrete Mathematics</t>
  </si>
  <si>
    <t>Vaish,Sankalp</t>
  </si>
  <si>
    <t>W01-0061</t>
  </si>
  <si>
    <t>Intermediate Computing with Data Structures</t>
  </si>
  <si>
    <t>W</t>
  </si>
  <si>
    <t>M</t>
  </si>
  <si>
    <t>W01-0055</t>
  </si>
  <si>
    <t>M01-0608</t>
  </si>
  <si>
    <t>W01-0044</t>
  </si>
  <si>
    <t>11:50AM</t>
  </si>
  <si>
    <t>Y04-4100</t>
  </si>
  <si>
    <t>Science Gateway Seminar I</t>
  </si>
  <si>
    <t>10:20AM</t>
  </si>
  <si>
    <t>09:30AM</t>
  </si>
  <si>
    <t>M03-0732</t>
  </si>
  <si>
    <t>Computer Language Supplement</t>
  </si>
  <si>
    <t>Remington,Aidan</t>
  </si>
  <si>
    <t>H04-0031</t>
  </si>
  <si>
    <t>Y02-2300</t>
  </si>
  <si>
    <t>Introduction to Computing</t>
  </si>
  <si>
    <t>W01-0058</t>
  </si>
  <si>
    <t>W01-0088</t>
  </si>
  <si>
    <t>M01-0208</t>
  </si>
  <si>
    <t>10:45AM</t>
  </si>
  <si>
    <t>W02-0158</t>
  </si>
  <si>
    <t>MWF</t>
  </si>
  <si>
    <t>M02-0420</t>
  </si>
  <si>
    <t>An Introduction to Computer Concepts</t>
  </si>
  <si>
    <t>10:50AM</t>
  </si>
  <si>
    <t>10:00AM</t>
  </si>
  <si>
    <t>Y03-3350</t>
  </si>
  <si>
    <t>Emp Name</t>
  </si>
  <si>
    <t>Mtg Ptrn</t>
  </si>
  <si>
    <t>Mtg End</t>
  </si>
  <si>
    <t>Mtg Start</t>
  </si>
  <si>
    <t>Fac Id</t>
  </si>
  <si>
    <t>Cls #</t>
  </si>
  <si>
    <t>Title</t>
  </si>
  <si>
    <t>Sect</t>
  </si>
  <si>
    <t>Ctlg #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</si>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</sst>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302A-9EE0-405D-A922-A04CF49AA1DE}">
  <dimension ref="A1:J131"/>
  <sheetViews>
    <sheetView tabSelected="1" view="pageLayout" topLeftCell="A60" zoomScaleNormal="100" workbookViewId="0">
      <selection activeCell="D5" sqref="D5"/>
    </sheetView>
  </sheetViews>
  <sheetFormatPr defaultRowHeight="19.5" customHeight="1" x14ac:dyDescent="0.25"/>
  <cols>
    <col min="1" max="1" width="7.140625" bestFit="1" customWidth="1"/>
    <col min="2" max="2" width="8.140625" bestFit="1" customWidth="1"/>
    <col min="3" max="3" width="7.42578125" bestFit="1" customWidth="1"/>
    <col min="4" max="4" width="41.140625" bestFit="1" customWidth="1"/>
    <col min="5" max="5" width="13.5703125" bestFit="1" customWidth="1"/>
    <col min="6" max="6" width="9.42578125" bestFit="1" customWidth="1"/>
    <col min="7" max="7" width="9.7109375" bestFit="1" customWidth="1"/>
    <col min="8" max="8" width="9" bestFit="1" customWidth="1"/>
    <col min="9" max="9" width="5.28515625" bestFit="1" customWidth="1"/>
    <col min="10" max="10" width="22.42578125" bestFit="1" customWidth="1"/>
  </cols>
  <sheetData>
    <row r="1" spans="1:10" ht="19.5" customHeight="1" x14ac:dyDescent="0.25">
      <c r="A1" t="s">
        <v>151</v>
      </c>
      <c r="B1" t="s">
        <v>150</v>
      </c>
      <c r="C1" t="s">
        <v>149</v>
      </c>
      <c r="D1" t="s">
        <v>148</v>
      </c>
      <c r="E1" t="s">
        <v>147</v>
      </c>
      <c r="F1" t="s">
        <v>146</v>
      </c>
      <c r="G1" t="s">
        <v>145</v>
      </c>
      <c r="H1" t="s">
        <v>144</v>
      </c>
      <c r="I1" t="s">
        <v>143</v>
      </c>
      <c r="J1" t="s">
        <v>142</v>
      </c>
    </row>
    <row r="2" spans="1:10" ht="19.5" customHeight="1" x14ac:dyDescent="0.25">
      <c r="A2" s="1" t="s">
        <v>4</v>
      </c>
      <c r="B2" s="1" t="str">
        <f>" 105"</f>
        <v xml:space="preserve"> 105</v>
      </c>
      <c r="C2" s="1" t="str">
        <f>"01"</f>
        <v>01</v>
      </c>
      <c r="D2" s="1" t="s">
        <v>138</v>
      </c>
      <c r="E2" s="1" t="str">
        <f>"2701"</f>
        <v>2701</v>
      </c>
      <c r="F2" s="1" t="s">
        <v>141</v>
      </c>
      <c r="G2" s="1" t="s">
        <v>140</v>
      </c>
      <c r="H2" s="1" t="s">
        <v>139</v>
      </c>
      <c r="I2" s="1" t="s">
        <v>136</v>
      </c>
      <c r="J2" s="1"/>
    </row>
    <row r="3" spans="1:10" ht="19.5" customHeight="1" x14ac:dyDescent="0.25">
      <c r="A3" s="1" t="s">
        <v>4</v>
      </c>
      <c r="B3" s="1" t="str">
        <f>" 105"</f>
        <v xml:space="preserve"> 105</v>
      </c>
      <c r="C3" s="1" t="str">
        <f>"02"</f>
        <v>02</v>
      </c>
      <c r="D3" s="1" t="s">
        <v>138</v>
      </c>
      <c r="E3" s="1" t="str">
        <f>"2702"</f>
        <v>2702</v>
      </c>
      <c r="F3" s="1" t="s">
        <v>137</v>
      </c>
      <c r="G3" s="1" t="s">
        <v>49</v>
      </c>
      <c r="H3" s="1" t="s">
        <v>120</v>
      </c>
      <c r="I3" s="1" t="s">
        <v>136</v>
      </c>
      <c r="J3" s="1"/>
    </row>
    <row r="4" spans="1:10" ht="19.5" customHeight="1" x14ac:dyDescent="0.25">
      <c r="A4" s="1" t="s">
        <v>4</v>
      </c>
      <c r="B4" s="1" t="str">
        <f>" 110"</f>
        <v xml:space="preserve"> 110</v>
      </c>
      <c r="C4" s="1" t="str">
        <f>"01"</f>
        <v>01</v>
      </c>
      <c r="D4" s="1" t="s">
        <v>130</v>
      </c>
      <c r="E4" s="1" t="str">
        <f>"1401"</f>
        <v>1401</v>
      </c>
      <c r="F4" s="1" t="s">
        <v>129</v>
      </c>
      <c r="G4" s="1" t="s">
        <v>49</v>
      </c>
      <c r="H4" s="1" t="s">
        <v>48</v>
      </c>
      <c r="I4" s="1" t="s">
        <v>23</v>
      </c>
      <c r="J4" s="1" t="s">
        <v>43</v>
      </c>
    </row>
    <row r="5" spans="1:10" ht="19.5" customHeight="1" x14ac:dyDescent="0.25">
      <c r="A5" s="1" t="s">
        <v>4</v>
      </c>
      <c r="B5" s="1" t="str">
        <f>" 110"</f>
        <v xml:space="preserve"> 110</v>
      </c>
      <c r="C5" s="1" t="str">
        <f>"01D"</f>
        <v>01D</v>
      </c>
      <c r="D5" s="1" t="s">
        <v>130</v>
      </c>
      <c r="E5" s="1" t="str">
        <f>"1402"</f>
        <v>1402</v>
      </c>
      <c r="F5" s="1" t="s">
        <v>135</v>
      </c>
      <c r="G5" s="1" t="s">
        <v>124</v>
      </c>
      <c r="H5" s="1" t="s">
        <v>134</v>
      </c>
      <c r="I5" s="1" t="s">
        <v>96</v>
      </c>
      <c r="J5" s="1" t="s">
        <v>43</v>
      </c>
    </row>
    <row r="6" spans="1:10" ht="19.5" customHeight="1" x14ac:dyDescent="0.25">
      <c r="A6" s="1" t="s">
        <v>4</v>
      </c>
      <c r="B6" s="1" t="str">
        <f>" 110"</f>
        <v xml:space="preserve"> 110</v>
      </c>
      <c r="C6" s="1" t="str">
        <f>"02"</f>
        <v>02</v>
      </c>
      <c r="D6" s="1" t="s">
        <v>130</v>
      </c>
      <c r="E6" s="1" t="str">
        <f>"2839"</f>
        <v>2839</v>
      </c>
      <c r="F6" s="1" t="s">
        <v>128</v>
      </c>
      <c r="G6" s="1" t="s">
        <v>29</v>
      </c>
      <c r="H6" s="1" t="s">
        <v>28</v>
      </c>
      <c r="I6" s="1" t="s">
        <v>23</v>
      </c>
      <c r="J6" s="1" t="s">
        <v>109</v>
      </c>
    </row>
    <row r="7" spans="1:10" ht="19.5" customHeight="1" x14ac:dyDescent="0.25">
      <c r="A7" s="1" t="s">
        <v>4</v>
      </c>
      <c r="B7" s="1" t="str">
        <f>" 110"</f>
        <v xml:space="preserve"> 110</v>
      </c>
      <c r="C7" s="1" t="str">
        <f>"02D"</f>
        <v>02D</v>
      </c>
      <c r="D7" s="1" t="s">
        <v>130</v>
      </c>
      <c r="E7" s="1" t="str">
        <f>"1403"</f>
        <v>1403</v>
      </c>
      <c r="F7" s="1" t="s">
        <v>118</v>
      </c>
      <c r="G7" s="1" t="s">
        <v>124</v>
      </c>
      <c r="H7" s="1" t="s">
        <v>134</v>
      </c>
      <c r="I7" s="1" t="s">
        <v>99</v>
      </c>
      <c r="J7" s="1" t="s">
        <v>43</v>
      </c>
    </row>
    <row r="8" spans="1:10" ht="19.5" customHeight="1" x14ac:dyDescent="0.25">
      <c r="A8" s="1" t="s">
        <v>4</v>
      </c>
      <c r="B8" s="1" t="str">
        <f>" 110"</f>
        <v xml:space="preserve"> 110</v>
      </c>
      <c r="C8" s="1" t="str">
        <f>"03"</f>
        <v>03</v>
      </c>
      <c r="D8" s="1" t="s">
        <v>130</v>
      </c>
      <c r="E8" s="1" t="str">
        <f>"3754"</f>
        <v>3754</v>
      </c>
      <c r="F8" s="1" t="s">
        <v>69</v>
      </c>
      <c r="G8" s="1" t="s">
        <v>25</v>
      </c>
      <c r="H8" s="1" t="s">
        <v>24</v>
      </c>
      <c r="I8" s="1" t="s">
        <v>35</v>
      </c>
      <c r="J8" s="1" t="s">
        <v>127</v>
      </c>
    </row>
    <row r="9" spans="1:10" ht="19.5" customHeight="1" x14ac:dyDescent="0.25">
      <c r="A9" s="1" t="s">
        <v>4</v>
      </c>
      <c r="B9" s="1" t="str">
        <f>" 110"</f>
        <v xml:space="preserve"> 110</v>
      </c>
      <c r="C9" s="1" t="str">
        <f>"03D"</f>
        <v>03D</v>
      </c>
      <c r="D9" s="1" t="s">
        <v>130</v>
      </c>
      <c r="E9" s="1" t="str">
        <f>"1404"</f>
        <v>1404</v>
      </c>
      <c r="F9" s="1" t="s">
        <v>131</v>
      </c>
      <c r="G9" s="1" t="s">
        <v>80</v>
      </c>
      <c r="H9" s="1" t="s">
        <v>79</v>
      </c>
      <c r="I9" s="1" t="s">
        <v>96</v>
      </c>
      <c r="J9" s="1" t="s">
        <v>43</v>
      </c>
    </row>
    <row r="10" spans="1:10" ht="19.5" customHeight="1" x14ac:dyDescent="0.25">
      <c r="A10" s="1" t="s">
        <v>4</v>
      </c>
      <c r="B10" s="1" t="str">
        <f>" 110"</f>
        <v xml:space="preserve"> 110</v>
      </c>
      <c r="C10" s="1" t="str">
        <f>"04"</f>
        <v>04</v>
      </c>
      <c r="D10" s="1" t="s">
        <v>130</v>
      </c>
      <c r="E10" s="1" t="str">
        <f>"4435"</f>
        <v>4435</v>
      </c>
      <c r="F10" s="1" t="s">
        <v>69</v>
      </c>
      <c r="G10" s="1" t="s">
        <v>29</v>
      </c>
      <c r="H10" s="1" t="s">
        <v>28</v>
      </c>
      <c r="I10" s="1" t="s">
        <v>35</v>
      </c>
      <c r="J10" s="1" t="s">
        <v>109</v>
      </c>
    </row>
    <row r="11" spans="1:10" ht="19.5" customHeight="1" x14ac:dyDescent="0.25">
      <c r="A11" s="1" t="s">
        <v>4</v>
      </c>
      <c r="B11" s="1" t="str">
        <f>" 110"</f>
        <v xml:space="preserve"> 110</v>
      </c>
      <c r="C11" s="1" t="str">
        <f>"04D"</f>
        <v>04D</v>
      </c>
      <c r="D11" s="1" t="s">
        <v>130</v>
      </c>
      <c r="E11" s="1" t="str">
        <f>"2312"</f>
        <v>2312</v>
      </c>
      <c r="F11" s="1" t="s">
        <v>133</v>
      </c>
      <c r="G11" s="1" t="s">
        <v>80</v>
      </c>
      <c r="H11" s="1" t="s">
        <v>79</v>
      </c>
      <c r="I11" s="1" t="s">
        <v>99</v>
      </c>
      <c r="J11" s="1" t="s">
        <v>43</v>
      </c>
    </row>
    <row r="12" spans="1:10" ht="19.5" customHeight="1" x14ac:dyDescent="0.25">
      <c r="A12" s="1" t="s">
        <v>4</v>
      </c>
      <c r="B12" s="1" t="str">
        <f>" 110"</f>
        <v xml:space="preserve"> 110</v>
      </c>
      <c r="C12" s="1" t="str">
        <f>"05D"</f>
        <v>05D</v>
      </c>
      <c r="D12" s="1" t="s">
        <v>130</v>
      </c>
      <c r="E12" s="1" t="str">
        <f>"3552"</f>
        <v>3552</v>
      </c>
      <c r="F12" s="1" t="s">
        <v>113</v>
      </c>
      <c r="G12" s="1" t="s">
        <v>80</v>
      </c>
      <c r="H12" s="1" t="s">
        <v>79</v>
      </c>
      <c r="I12" s="1" t="s">
        <v>96</v>
      </c>
      <c r="J12" s="1" t="s">
        <v>43</v>
      </c>
    </row>
    <row r="13" spans="1:10" ht="19.5" customHeight="1" x14ac:dyDescent="0.25">
      <c r="A13" s="1" t="s">
        <v>4</v>
      </c>
      <c r="B13" s="1" t="str">
        <f>" 110"</f>
        <v xml:space="preserve"> 110</v>
      </c>
      <c r="C13" s="1" t="str">
        <f>"06D"</f>
        <v>06D</v>
      </c>
      <c r="D13" s="1" t="s">
        <v>130</v>
      </c>
      <c r="E13" s="1" t="str">
        <f>"3100"</f>
        <v>3100</v>
      </c>
      <c r="F13" s="1" t="s">
        <v>132</v>
      </c>
      <c r="G13" s="1" t="s">
        <v>80</v>
      </c>
      <c r="H13" s="1" t="s">
        <v>79</v>
      </c>
      <c r="I13" s="1" t="s">
        <v>99</v>
      </c>
      <c r="J13" s="1" t="s">
        <v>43</v>
      </c>
    </row>
    <row r="14" spans="1:10" ht="19.5" customHeight="1" x14ac:dyDescent="0.25">
      <c r="A14" s="1" t="s">
        <v>4</v>
      </c>
      <c r="B14" s="1" t="str">
        <f>" 110"</f>
        <v xml:space="preserve"> 110</v>
      </c>
      <c r="C14" s="1" t="str">
        <f>"07D"</f>
        <v>07D</v>
      </c>
      <c r="D14" s="1" t="s">
        <v>130</v>
      </c>
      <c r="E14" s="1" t="str">
        <f>"2313"</f>
        <v>2313</v>
      </c>
      <c r="F14" s="1" t="s">
        <v>113</v>
      </c>
      <c r="G14" s="1" t="s">
        <v>45</v>
      </c>
      <c r="H14" s="1" t="s">
        <v>44</v>
      </c>
      <c r="I14" s="1" t="s">
        <v>96</v>
      </c>
      <c r="J14" s="1" t="s">
        <v>109</v>
      </c>
    </row>
    <row r="15" spans="1:10" ht="19.5" customHeight="1" x14ac:dyDescent="0.25">
      <c r="A15" s="1" t="s">
        <v>4</v>
      </c>
      <c r="B15" s="1" t="str">
        <f>" 110"</f>
        <v xml:space="preserve"> 110</v>
      </c>
      <c r="C15" s="1" t="str">
        <f>"08D"</f>
        <v>08D</v>
      </c>
      <c r="D15" s="1" t="s">
        <v>130</v>
      </c>
      <c r="E15" s="1" t="str">
        <f>"2381"</f>
        <v>2381</v>
      </c>
      <c r="F15" s="1" t="s">
        <v>119</v>
      </c>
      <c r="G15" s="1" t="s">
        <v>45</v>
      </c>
      <c r="H15" s="1" t="s">
        <v>44</v>
      </c>
      <c r="I15" s="1" t="s">
        <v>99</v>
      </c>
      <c r="J15" s="1" t="s">
        <v>109</v>
      </c>
    </row>
    <row r="16" spans="1:10" ht="19.5" customHeight="1" x14ac:dyDescent="0.25">
      <c r="A16" s="1" t="s">
        <v>4</v>
      </c>
      <c r="B16" s="1" t="str">
        <f>" 110"</f>
        <v xml:space="preserve"> 110</v>
      </c>
      <c r="C16" s="1" t="str">
        <f>"09D"</f>
        <v>09D</v>
      </c>
      <c r="D16" s="1" t="s">
        <v>130</v>
      </c>
      <c r="E16" s="1" t="str">
        <f>"3755"</f>
        <v>3755</v>
      </c>
      <c r="F16" s="1" t="s">
        <v>131</v>
      </c>
      <c r="G16" s="1" t="s">
        <v>29</v>
      </c>
      <c r="H16" s="1" t="s">
        <v>28</v>
      </c>
      <c r="I16" s="1" t="s">
        <v>116</v>
      </c>
      <c r="J16" s="1" t="s">
        <v>127</v>
      </c>
    </row>
    <row r="17" spans="1:10" ht="19.5" customHeight="1" x14ac:dyDescent="0.25">
      <c r="A17" s="1" t="s">
        <v>4</v>
      </c>
      <c r="B17" s="1" t="str">
        <f>" 110"</f>
        <v xml:space="preserve"> 110</v>
      </c>
      <c r="C17" s="1" t="str">
        <f>"10D"</f>
        <v>10D</v>
      </c>
      <c r="D17" s="1" t="s">
        <v>130</v>
      </c>
      <c r="E17" s="1" t="str">
        <f>"3756"</f>
        <v>3756</v>
      </c>
      <c r="F17" s="1" t="s">
        <v>52</v>
      </c>
      <c r="G17" s="1" t="s">
        <v>29</v>
      </c>
      <c r="H17" s="1" t="s">
        <v>28</v>
      </c>
      <c r="I17" s="1" t="s">
        <v>115</v>
      </c>
      <c r="J17" s="1" t="s">
        <v>127</v>
      </c>
    </row>
    <row r="18" spans="1:10" ht="19.5" customHeight="1" x14ac:dyDescent="0.25">
      <c r="A18" s="1" t="s">
        <v>4</v>
      </c>
      <c r="B18" s="1" t="str">
        <f>" 110"</f>
        <v xml:space="preserve"> 110</v>
      </c>
      <c r="C18" s="1" t="str">
        <f>"11D"</f>
        <v>11D</v>
      </c>
      <c r="D18" s="1" t="s">
        <v>130</v>
      </c>
      <c r="E18" s="1" t="str">
        <f>"4436"</f>
        <v>4436</v>
      </c>
      <c r="F18" s="1" t="s">
        <v>119</v>
      </c>
      <c r="G18" s="1" t="s">
        <v>25</v>
      </c>
      <c r="H18" s="1" t="s">
        <v>24</v>
      </c>
      <c r="I18" s="1" t="s">
        <v>116</v>
      </c>
      <c r="J18" s="1" t="s">
        <v>109</v>
      </c>
    </row>
    <row r="19" spans="1:10" ht="19.5" customHeight="1" x14ac:dyDescent="0.25">
      <c r="A19" s="1" t="s">
        <v>4</v>
      </c>
      <c r="B19" s="1" t="str">
        <f>" 110"</f>
        <v xml:space="preserve"> 110</v>
      </c>
      <c r="C19" s="1" t="str">
        <f>"12D"</f>
        <v>12D</v>
      </c>
      <c r="D19" s="1" t="s">
        <v>130</v>
      </c>
      <c r="E19" s="1" t="str">
        <f>"4439"</f>
        <v>4439</v>
      </c>
      <c r="F19" s="1" t="s">
        <v>119</v>
      </c>
      <c r="G19" s="1" t="s">
        <v>25</v>
      </c>
      <c r="H19" s="1" t="s">
        <v>24</v>
      </c>
      <c r="I19" s="1" t="s">
        <v>115</v>
      </c>
      <c r="J19" s="1" t="s">
        <v>109</v>
      </c>
    </row>
    <row r="20" spans="1:10" ht="19.5" customHeight="1" x14ac:dyDescent="0.25">
      <c r="A20" s="1" t="s">
        <v>4</v>
      </c>
      <c r="B20" s="1" t="str">
        <f>" 119"</f>
        <v xml:space="preserve"> 119</v>
      </c>
      <c r="C20" s="1" t="str">
        <f>"01"</f>
        <v>01</v>
      </c>
      <c r="D20" s="1" t="s">
        <v>126</v>
      </c>
      <c r="E20" s="1" t="str">
        <f>"1405"</f>
        <v>1405</v>
      </c>
      <c r="F20" s="1" t="s">
        <v>129</v>
      </c>
      <c r="G20" s="1" t="s">
        <v>49</v>
      </c>
      <c r="H20" s="1" t="s">
        <v>48</v>
      </c>
      <c r="I20" s="1" t="s">
        <v>23</v>
      </c>
      <c r="J20" s="1" t="s">
        <v>43</v>
      </c>
    </row>
    <row r="21" spans="1:10" ht="19.5" customHeight="1" x14ac:dyDescent="0.25">
      <c r="A21" s="1" t="s">
        <v>4</v>
      </c>
      <c r="B21" s="1" t="str">
        <f>" 119"</f>
        <v xml:space="preserve"> 119</v>
      </c>
      <c r="C21" s="1" t="str">
        <f>"02"</f>
        <v>02</v>
      </c>
      <c r="D21" s="1" t="s">
        <v>126</v>
      </c>
      <c r="E21" s="1" t="str">
        <f>"4165"</f>
        <v>4165</v>
      </c>
      <c r="F21" s="1" t="s">
        <v>128</v>
      </c>
      <c r="G21" s="1" t="s">
        <v>29</v>
      </c>
      <c r="H21" s="1" t="s">
        <v>28</v>
      </c>
      <c r="I21" s="1" t="s">
        <v>23</v>
      </c>
      <c r="J21" s="1" t="s">
        <v>109</v>
      </c>
    </row>
    <row r="22" spans="1:10" ht="19.5" customHeight="1" x14ac:dyDescent="0.25">
      <c r="A22" s="1" t="s">
        <v>4</v>
      </c>
      <c r="B22" s="1" t="str">
        <f>" 119"</f>
        <v xml:space="preserve"> 119</v>
      </c>
      <c r="C22" s="1" t="str">
        <f>"03"</f>
        <v>03</v>
      </c>
      <c r="D22" s="1" t="s">
        <v>126</v>
      </c>
      <c r="E22" s="1" t="str">
        <f>"3753"</f>
        <v>3753</v>
      </c>
      <c r="F22" s="1" t="s">
        <v>69</v>
      </c>
      <c r="G22" s="1" t="s">
        <v>25</v>
      </c>
      <c r="H22" s="1" t="s">
        <v>24</v>
      </c>
      <c r="I22" s="1" t="s">
        <v>35</v>
      </c>
      <c r="J22" s="1" t="s">
        <v>127</v>
      </c>
    </row>
    <row r="23" spans="1:10" ht="19.5" customHeight="1" x14ac:dyDescent="0.25">
      <c r="A23" s="1" t="s">
        <v>4</v>
      </c>
      <c r="B23" s="1" t="str">
        <f>" 119"</f>
        <v xml:space="preserve"> 119</v>
      </c>
      <c r="C23" s="1" t="str">
        <f>"04"</f>
        <v>04</v>
      </c>
      <c r="D23" s="1" t="s">
        <v>126</v>
      </c>
      <c r="E23" s="1" t="str">
        <f>"4440"</f>
        <v>4440</v>
      </c>
      <c r="F23" s="1" t="s">
        <v>69</v>
      </c>
      <c r="G23" s="1" t="s">
        <v>29</v>
      </c>
      <c r="H23" s="1" t="s">
        <v>28</v>
      </c>
      <c r="I23" s="1" t="s">
        <v>35</v>
      </c>
      <c r="J23" s="1" t="s">
        <v>109</v>
      </c>
    </row>
    <row r="24" spans="1:10" ht="19.5" customHeight="1" x14ac:dyDescent="0.25">
      <c r="A24" s="1" t="s">
        <v>4</v>
      </c>
      <c r="B24" s="1" t="str">
        <f>" 187SL"</f>
        <v xml:space="preserve"> 187SL</v>
      </c>
      <c r="C24" s="1" t="str">
        <f>"01"</f>
        <v>01</v>
      </c>
      <c r="D24" s="1" t="s">
        <v>122</v>
      </c>
      <c r="E24" s="1" t="str">
        <f>"2037"</f>
        <v>2037</v>
      </c>
      <c r="F24" s="1" t="s">
        <v>125</v>
      </c>
      <c r="G24" s="1" t="s">
        <v>124</v>
      </c>
      <c r="H24" s="1" t="s">
        <v>123</v>
      </c>
      <c r="I24" s="1" t="s">
        <v>23</v>
      </c>
      <c r="J24" s="1" t="s">
        <v>58</v>
      </c>
    </row>
    <row r="25" spans="1:10" ht="19.5" customHeight="1" x14ac:dyDescent="0.25">
      <c r="A25" s="1" t="s">
        <v>4</v>
      </c>
      <c r="B25" s="1" t="str">
        <f>" 187SL"</f>
        <v xml:space="preserve"> 187SL</v>
      </c>
      <c r="C25" s="1" t="str">
        <f>"02"</f>
        <v>02</v>
      </c>
      <c r="D25" s="1" t="s">
        <v>122</v>
      </c>
      <c r="E25" s="1" t="str">
        <f>"3976"</f>
        <v>3976</v>
      </c>
      <c r="F25" s="1" t="s">
        <v>121</v>
      </c>
      <c r="G25" s="1" t="s">
        <v>49</v>
      </c>
      <c r="H25" s="1" t="s">
        <v>120</v>
      </c>
      <c r="I25" s="1" t="s">
        <v>35</v>
      </c>
      <c r="J25" s="1"/>
    </row>
    <row r="26" spans="1:10" ht="19.5" customHeight="1" x14ac:dyDescent="0.25">
      <c r="A26" s="1" t="s">
        <v>4</v>
      </c>
      <c r="B26" s="1" t="str">
        <f>" 210"</f>
        <v xml:space="preserve"> 210</v>
      </c>
      <c r="C26" s="1" t="str">
        <f>"01"</f>
        <v>01</v>
      </c>
      <c r="D26" s="1" t="s">
        <v>114</v>
      </c>
      <c r="E26" s="1" t="str">
        <f>"1713"</f>
        <v>1713</v>
      </c>
      <c r="F26" s="1" t="s">
        <v>106</v>
      </c>
      <c r="G26" s="1" t="s">
        <v>80</v>
      </c>
      <c r="H26" s="1" t="s">
        <v>79</v>
      </c>
      <c r="I26" s="1" t="s">
        <v>23</v>
      </c>
      <c r="J26" s="1" t="s">
        <v>43</v>
      </c>
    </row>
    <row r="27" spans="1:10" ht="19.5" customHeight="1" x14ac:dyDescent="0.25">
      <c r="A27" s="1" t="s">
        <v>4</v>
      </c>
      <c r="B27" s="1" t="str">
        <f>" 210"</f>
        <v xml:space="preserve"> 210</v>
      </c>
      <c r="C27" s="1" t="str">
        <f>"01D"</f>
        <v>01D</v>
      </c>
      <c r="D27" s="1" t="s">
        <v>114</v>
      </c>
      <c r="E27" s="1" t="str">
        <f>"1714"</f>
        <v>1714</v>
      </c>
      <c r="F27" s="1" t="s">
        <v>26</v>
      </c>
      <c r="G27" s="1" t="s">
        <v>49</v>
      </c>
      <c r="H27" s="1" t="s">
        <v>48</v>
      </c>
      <c r="I27" s="1" t="s">
        <v>96</v>
      </c>
      <c r="J27" s="1" t="s">
        <v>43</v>
      </c>
    </row>
    <row r="28" spans="1:10" ht="19.5" customHeight="1" x14ac:dyDescent="0.25">
      <c r="A28" s="1" t="s">
        <v>4</v>
      </c>
      <c r="B28" s="1" t="str">
        <f>" 210"</f>
        <v xml:space="preserve"> 210</v>
      </c>
      <c r="C28" s="1" t="str">
        <f>"02"</f>
        <v>02</v>
      </c>
      <c r="D28" s="1" t="s">
        <v>114</v>
      </c>
      <c r="E28" s="1" t="str">
        <f>"2887"</f>
        <v>2887</v>
      </c>
      <c r="F28" s="1" t="s">
        <v>89</v>
      </c>
      <c r="G28" s="1" t="s">
        <v>29</v>
      </c>
      <c r="H28" s="1" t="s">
        <v>28</v>
      </c>
      <c r="I28" s="1" t="s">
        <v>35</v>
      </c>
      <c r="J28" s="1"/>
    </row>
    <row r="29" spans="1:10" ht="19.5" customHeight="1" x14ac:dyDescent="0.25">
      <c r="A29" s="1" t="s">
        <v>4</v>
      </c>
      <c r="B29" s="1" t="str">
        <f>" 210"</f>
        <v xml:space="preserve"> 210</v>
      </c>
      <c r="C29" s="1" t="str">
        <f>"02D"</f>
        <v>02D</v>
      </c>
      <c r="D29" s="1" t="s">
        <v>114</v>
      </c>
      <c r="E29" s="1" t="str">
        <f>"3228"</f>
        <v>3228</v>
      </c>
      <c r="F29" s="1" t="s">
        <v>117</v>
      </c>
      <c r="G29" s="1" t="s">
        <v>49</v>
      </c>
      <c r="H29" s="1" t="s">
        <v>48</v>
      </c>
      <c r="I29" s="1" t="s">
        <v>99</v>
      </c>
      <c r="J29" s="1" t="s">
        <v>43</v>
      </c>
    </row>
    <row r="30" spans="1:10" ht="19.5" customHeight="1" x14ac:dyDescent="0.25">
      <c r="A30" s="1" t="s">
        <v>4</v>
      </c>
      <c r="B30" s="1" t="str">
        <f>" 210"</f>
        <v xml:space="preserve"> 210</v>
      </c>
      <c r="C30" s="1" t="str">
        <f>"03"</f>
        <v>03</v>
      </c>
      <c r="D30" s="1" t="s">
        <v>114</v>
      </c>
      <c r="E30" s="1" t="str">
        <f>"4404"</f>
        <v>4404</v>
      </c>
      <c r="F30" s="1" t="s">
        <v>41</v>
      </c>
      <c r="G30" s="1" t="s">
        <v>29</v>
      </c>
      <c r="H30" s="1" t="s">
        <v>28</v>
      </c>
      <c r="I30" s="1" t="s">
        <v>23</v>
      </c>
      <c r="J30" s="1" t="s">
        <v>112</v>
      </c>
    </row>
    <row r="31" spans="1:10" ht="19.5" customHeight="1" x14ac:dyDescent="0.25">
      <c r="A31" s="1" t="s">
        <v>4</v>
      </c>
      <c r="B31" s="1" t="str">
        <f>" 210"</f>
        <v xml:space="preserve"> 210</v>
      </c>
      <c r="C31" s="1" t="str">
        <f>"03D"</f>
        <v>03D</v>
      </c>
      <c r="D31" s="1" t="s">
        <v>114</v>
      </c>
      <c r="E31" s="1" t="str">
        <f>"3051"</f>
        <v>3051</v>
      </c>
      <c r="F31" s="1" t="s">
        <v>119</v>
      </c>
      <c r="G31" s="1" t="s">
        <v>60</v>
      </c>
      <c r="H31" s="1" t="s">
        <v>59</v>
      </c>
      <c r="I31" s="1" t="s">
        <v>96</v>
      </c>
      <c r="J31" s="1" t="s">
        <v>43</v>
      </c>
    </row>
    <row r="32" spans="1:10" ht="19.5" customHeight="1" x14ac:dyDescent="0.25">
      <c r="A32" s="1" t="s">
        <v>4</v>
      </c>
      <c r="B32" s="1" t="str">
        <f>" 210"</f>
        <v xml:space="preserve"> 210</v>
      </c>
      <c r="C32" s="1" t="str">
        <f>"04D"</f>
        <v>04D</v>
      </c>
      <c r="D32" s="1" t="s">
        <v>114</v>
      </c>
      <c r="E32" s="1" t="str">
        <f>"4048"</f>
        <v>4048</v>
      </c>
      <c r="F32" s="1" t="s">
        <v>118</v>
      </c>
      <c r="G32" s="1" t="s">
        <v>60</v>
      </c>
      <c r="H32" s="1" t="s">
        <v>59</v>
      </c>
      <c r="I32" s="1" t="s">
        <v>99</v>
      </c>
      <c r="J32" s="1" t="s">
        <v>43</v>
      </c>
    </row>
    <row r="33" spans="1:10" ht="19.5" customHeight="1" x14ac:dyDescent="0.25">
      <c r="A33" s="1" t="s">
        <v>4</v>
      </c>
      <c r="B33" s="1" t="str">
        <f>" 210"</f>
        <v xml:space="preserve"> 210</v>
      </c>
      <c r="C33" s="1" t="str">
        <f>"05D"</f>
        <v>05D</v>
      </c>
      <c r="D33" s="1" t="s">
        <v>114</v>
      </c>
      <c r="E33" s="1" t="str">
        <f>"3070"</f>
        <v>3070</v>
      </c>
      <c r="F33" s="1" t="s">
        <v>117</v>
      </c>
      <c r="G33" s="1" t="s">
        <v>25</v>
      </c>
      <c r="H33" s="1" t="s">
        <v>24</v>
      </c>
      <c r="I33" s="1" t="s">
        <v>116</v>
      </c>
      <c r="J33" s="1"/>
    </row>
    <row r="34" spans="1:10" ht="19.5" customHeight="1" x14ac:dyDescent="0.25">
      <c r="A34" s="1" t="s">
        <v>4</v>
      </c>
      <c r="B34" s="1" t="str">
        <f>" 210"</f>
        <v xml:space="preserve"> 210</v>
      </c>
      <c r="C34" s="1" t="str">
        <f>"06D"</f>
        <v>06D</v>
      </c>
      <c r="D34" s="1" t="s">
        <v>114</v>
      </c>
      <c r="E34" s="1" t="str">
        <f>"3071"</f>
        <v>3071</v>
      </c>
      <c r="F34" s="1" t="s">
        <v>113</v>
      </c>
      <c r="G34" s="1" t="s">
        <v>25</v>
      </c>
      <c r="H34" s="1" t="s">
        <v>24</v>
      </c>
      <c r="I34" s="1" t="s">
        <v>115</v>
      </c>
      <c r="J34" s="1"/>
    </row>
    <row r="35" spans="1:10" ht="19.5" customHeight="1" x14ac:dyDescent="0.25">
      <c r="A35" s="1" t="s">
        <v>4</v>
      </c>
      <c r="B35" s="1" t="str">
        <f>" 210"</f>
        <v xml:space="preserve"> 210</v>
      </c>
      <c r="C35" s="1" t="str">
        <f>"07D"</f>
        <v>07D</v>
      </c>
      <c r="D35" s="1" t="s">
        <v>114</v>
      </c>
      <c r="E35" s="1" t="str">
        <f>"4405"</f>
        <v>4405</v>
      </c>
      <c r="F35" s="1" t="s">
        <v>113</v>
      </c>
      <c r="G35" s="1" t="s">
        <v>25</v>
      </c>
      <c r="H35" s="1" t="s">
        <v>24</v>
      </c>
      <c r="I35" s="1" t="s">
        <v>96</v>
      </c>
      <c r="J35" s="1" t="s">
        <v>112</v>
      </c>
    </row>
    <row r="36" spans="1:10" ht="19.5" customHeight="1" x14ac:dyDescent="0.25">
      <c r="A36" s="1" t="s">
        <v>4</v>
      </c>
      <c r="B36" s="1" t="str">
        <f>" 210"</f>
        <v xml:space="preserve"> 210</v>
      </c>
      <c r="C36" s="1" t="str">
        <f>"08D"</f>
        <v>08D</v>
      </c>
      <c r="D36" s="1" t="s">
        <v>114</v>
      </c>
      <c r="E36" s="1" t="str">
        <f>"4406"</f>
        <v>4406</v>
      </c>
      <c r="F36" s="1" t="s">
        <v>113</v>
      </c>
      <c r="G36" s="1" t="s">
        <v>25</v>
      </c>
      <c r="H36" s="1" t="s">
        <v>24</v>
      </c>
      <c r="I36" s="1" t="s">
        <v>99</v>
      </c>
      <c r="J36" s="1" t="s">
        <v>112</v>
      </c>
    </row>
    <row r="37" spans="1:10" ht="19.5" customHeight="1" x14ac:dyDescent="0.25">
      <c r="A37" s="1" t="s">
        <v>4</v>
      </c>
      <c r="B37" s="1" t="str">
        <f>" 220"</f>
        <v xml:space="preserve"> 220</v>
      </c>
      <c r="C37" s="1" t="str">
        <f>"01"</f>
        <v>01</v>
      </c>
      <c r="D37" s="1" t="s">
        <v>111</v>
      </c>
      <c r="E37" s="1" t="str">
        <f>"1400"</f>
        <v>1400</v>
      </c>
      <c r="F37" s="1" t="s">
        <v>89</v>
      </c>
      <c r="G37" s="1" t="s">
        <v>60</v>
      </c>
      <c r="H37" s="1" t="s">
        <v>59</v>
      </c>
      <c r="I37" s="1" t="s">
        <v>35</v>
      </c>
      <c r="J37" s="1" t="s">
        <v>14</v>
      </c>
    </row>
    <row r="38" spans="1:10" ht="19.5" customHeight="1" x14ac:dyDescent="0.25">
      <c r="A38" s="1" t="s">
        <v>4</v>
      </c>
      <c r="B38" s="1" t="str">
        <f>" 220"</f>
        <v xml:space="preserve"> 220</v>
      </c>
      <c r="C38" s="1" t="str">
        <f>"02"</f>
        <v>02</v>
      </c>
      <c r="D38" s="1" t="s">
        <v>111</v>
      </c>
      <c r="E38" s="1" t="str">
        <f>"3072"</f>
        <v>3072</v>
      </c>
      <c r="F38" s="1" t="s">
        <v>69</v>
      </c>
      <c r="G38" s="1" t="s">
        <v>45</v>
      </c>
      <c r="H38" s="1" t="s">
        <v>44</v>
      </c>
      <c r="I38" s="1" t="s">
        <v>23</v>
      </c>
      <c r="J38" s="1" t="s">
        <v>109</v>
      </c>
    </row>
    <row r="39" spans="1:10" ht="19.5" customHeight="1" x14ac:dyDescent="0.25">
      <c r="A39" s="1" t="s">
        <v>4</v>
      </c>
      <c r="B39" s="1" t="str">
        <f>" 220"</f>
        <v xml:space="preserve"> 220</v>
      </c>
      <c r="C39" s="1" t="str">
        <f>"03"</f>
        <v>03</v>
      </c>
      <c r="D39" s="1" t="s">
        <v>111</v>
      </c>
      <c r="E39" s="1" t="str">
        <f>"3994"</f>
        <v>3994</v>
      </c>
      <c r="F39" s="1" t="s">
        <v>110</v>
      </c>
      <c r="G39" s="1" t="s">
        <v>45</v>
      </c>
      <c r="H39" s="1" t="s">
        <v>44</v>
      </c>
      <c r="I39" s="1" t="s">
        <v>35</v>
      </c>
      <c r="J39" s="1" t="s">
        <v>109</v>
      </c>
    </row>
    <row r="40" spans="1:10" ht="19.5" customHeight="1" x14ac:dyDescent="0.25">
      <c r="A40" s="1" t="s">
        <v>4</v>
      </c>
      <c r="B40" s="1" t="str">
        <f>" 240"</f>
        <v xml:space="preserve"> 240</v>
      </c>
      <c r="C40" s="1" t="str">
        <f>"01"</f>
        <v>01</v>
      </c>
      <c r="D40" s="1" t="s">
        <v>107</v>
      </c>
      <c r="E40" s="1" t="str">
        <f>"2604"</f>
        <v>2604</v>
      </c>
      <c r="F40" s="1" t="s">
        <v>93</v>
      </c>
      <c r="G40" s="1" t="s">
        <v>29</v>
      </c>
      <c r="H40" s="1" t="s">
        <v>28</v>
      </c>
      <c r="I40" s="1" t="s">
        <v>23</v>
      </c>
      <c r="J40" s="1" t="s">
        <v>7</v>
      </c>
    </row>
    <row r="41" spans="1:10" ht="19.5" customHeight="1" x14ac:dyDescent="0.25">
      <c r="A41" s="1" t="s">
        <v>4</v>
      </c>
      <c r="B41" s="1" t="str">
        <f>" 240"</f>
        <v xml:space="preserve"> 240</v>
      </c>
      <c r="C41" s="1" t="str">
        <f>"02"</f>
        <v>02</v>
      </c>
      <c r="D41" s="1" t="s">
        <v>107</v>
      </c>
      <c r="E41" s="1" t="str">
        <f>"2888"</f>
        <v>2888</v>
      </c>
      <c r="F41" s="1" t="s">
        <v>89</v>
      </c>
      <c r="G41" s="1" t="s">
        <v>49</v>
      </c>
      <c r="H41" s="1" t="s">
        <v>48</v>
      </c>
      <c r="I41" s="1" t="s">
        <v>23</v>
      </c>
      <c r="J41" s="1" t="s">
        <v>108</v>
      </c>
    </row>
    <row r="42" spans="1:10" ht="19.5" customHeight="1" x14ac:dyDescent="0.25">
      <c r="A42" s="1" t="s">
        <v>4</v>
      </c>
      <c r="B42" s="1" t="str">
        <f>" 240"</f>
        <v xml:space="preserve"> 240</v>
      </c>
      <c r="C42" s="1" t="str">
        <f>"03"</f>
        <v>03</v>
      </c>
      <c r="D42" s="1" t="s">
        <v>107</v>
      </c>
      <c r="E42" s="1" t="str">
        <f>"3990"</f>
        <v>3990</v>
      </c>
      <c r="F42" s="1" t="s">
        <v>106</v>
      </c>
      <c r="G42" s="1" t="s">
        <v>45</v>
      </c>
      <c r="H42" s="1" t="s">
        <v>44</v>
      </c>
      <c r="I42" s="1" t="s">
        <v>23</v>
      </c>
      <c r="J42" s="1" t="s">
        <v>7</v>
      </c>
    </row>
    <row r="43" spans="1:10" ht="19.5" customHeight="1" x14ac:dyDescent="0.25">
      <c r="A43" s="1" t="s">
        <v>4</v>
      </c>
      <c r="B43" s="1" t="str">
        <f>" 285L"</f>
        <v xml:space="preserve"> 285L</v>
      </c>
      <c r="C43" s="1" t="str">
        <f>"01"</f>
        <v>01</v>
      </c>
      <c r="D43" s="1" t="s">
        <v>105</v>
      </c>
      <c r="E43" s="1" t="str">
        <f>"2159"</f>
        <v>2159</v>
      </c>
      <c r="F43" s="1" t="s">
        <v>64</v>
      </c>
      <c r="G43" s="1" t="s">
        <v>80</v>
      </c>
      <c r="H43" s="1" t="s">
        <v>79</v>
      </c>
      <c r="I43" s="1" t="s">
        <v>23</v>
      </c>
      <c r="J43" s="1" t="s">
        <v>104</v>
      </c>
    </row>
    <row r="44" spans="1:10" ht="19.5" customHeight="1" x14ac:dyDescent="0.25">
      <c r="A44" s="1" t="s">
        <v>4</v>
      </c>
      <c r="B44" s="1" t="str">
        <f>" 285L"</f>
        <v xml:space="preserve"> 285L</v>
      </c>
      <c r="C44" s="1" t="str">
        <f>"02"</f>
        <v>02</v>
      </c>
      <c r="D44" s="1" t="s">
        <v>105</v>
      </c>
      <c r="E44" s="1" t="str">
        <f>"2315"</f>
        <v>2315</v>
      </c>
      <c r="F44" s="1" t="s">
        <v>50</v>
      </c>
      <c r="G44" s="1" t="s">
        <v>45</v>
      </c>
      <c r="H44" s="1" t="s">
        <v>44</v>
      </c>
      <c r="I44" s="1" t="s">
        <v>23</v>
      </c>
      <c r="J44" s="1" t="s">
        <v>104</v>
      </c>
    </row>
    <row r="45" spans="1:10" ht="19.5" customHeight="1" x14ac:dyDescent="0.25">
      <c r="A45" s="1" t="s">
        <v>4</v>
      </c>
      <c r="B45" s="1" t="str">
        <f>" 285L"</f>
        <v xml:space="preserve"> 285L</v>
      </c>
      <c r="C45" s="1" t="str">
        <f>"03"</f>
        <v>03</v>
      </c>
      <c r="D45" s="1" t="s">
        <v>105</v>
      </c>
      <c r="E45" s="1" t="str">
        <f>"2326"</f>
        <v>2326</v>
      </c>
      <c r="F45" s="1" t="s">
        <v>69</v>
      </c>
      <c r="G45" s="1" t="s">
        <v>29</v>
      </c>
      <c r="H45" s="1" t="s">
        <v>28</v>
      </c>
      <c r="I45" s="1" t="s">
        <v>23</v>
      </c>
      <c r="J45" s="1" t="s">
        <v>104</v>
      </c>
    </row>
    <row r="46" spans="1:10" ht="19.5" customHeight="1" x14ac:dyDescent="0.25">
      <c r="A46" s="1" t="s">
        <v>4</v>
      </c>
      <c r="B46" s="1" t="str">
        <f>" 285L"</f>
        <v xml:space="preserve"> 285L</v>
      </c>
      <c r="C46" s="1" t="str">
        <f>"04"</f>
        <v>04</v>
      </c>
      <c r="D46" s="1" t="s">
        <v>105</v>
      </c>
      <c r="E46" s="1" t="str">
        <f>"3132"</f>
        <v>3132</v>
      </c>
      <c r="F46" s="1" t="s">
        <v>64</v>
      </c>
      <c r="G46" s="1" t="s">
        <v>49</v>
      </c>
      <c r="H46" s="1" t="s">
        <v>48</v>
      </c>
      <c r="I46" s="1" t="s">
        <v>23</v>
      </c>
      <c r="J46" s="1" t="s">
        <v>104</v>
      </c>
    </row>
    <row r="47" spans="1:10" ht="19.5" customHeight="1" x14ac:dyDescent="0.25">
      <c r="A47" s="1" t="s">
        <v>4</v>
      </c>
      <c r="B47" s="1" t="str">
        <f>" 310"</f>
        <v xml:space="preserve"> 310</v>
      </c>
      <c r="C47" s="1" t="str">
        <f>"01"</f>
        <v>01</v>
      </c>
      <c r="D47" s="1" t="s">
        <v>103</v>
      </c>
      <c r="E47" s="1" t="str">
        <f>"1406"</f>
        <v>1406</v>
      </c>
      <c r="F47" s="1" t="s">
        <v>41</v>
      </c>
      <c r="G47" s="1" t="s">
        <v>45</v>
      </c>
      <c r="H47" s="1" t="s">
        <v>44</v>
      </c>
      <c r="I47" s="1" t="s">
        <v>35</v>
      </c>
      <c r="J47" s="1" t="s">
        <v>40</v>
      </c>
    </row>
    <row r="48" spans="1:10" ht="19.5" customHeight="1" x14ac:dyDescent="0.25">
      <c r="A48" s="1" t="s">
        <v>4</v>
      </c>
      <c r="B48" s="1" t="str">
        <f>" 310"</f>
        <v xml:space="preserve"> 310</v>
      </c>
      <c r="C48" s="1" t="str">
        <f>"02"</f>
        <v>02</v>
      </c>
      <c r="D48" s="1" t="s">
        <v>103</v>
      </c>
      <c r="E48" s="1" t="str">
        <f>"3704"</f>
        <v>3704</v>
      </c>
      <c r="F48" s="1" t="s">
        <v>85</v>
      </c>
      <c r="G48" s="1" t="s">
        <v>29</v>
      </c>
      <c r="H48" s="1" t="s">
        <v>28</v>
      </c>
      <c r="I48" s="1" t="s">
        <v>23</v>
      </c>
      <c r="J48" s="1" t="s">
        <v>22</v>
      </c>
    </row>
    <row r="49" spans="1:10" ht="19.5" customHeight="1" x14ac:dyDescent="0.25">
      <c r="A49" s="1" t="s">
        <v>4</v>
      </c>
      <c r="B49" s="1" t="str">
        <f>" 341"</f>
        <v xml:space="preserve"> 341</v>
      </c>
      <c r="C49" s="1" t="str">
        <f>"01"</f>
        <v>01</v>
      </c>
      <c r="D49" s="1" t="s">
        <v>98</v>
      </c>
      <c r="E49" s="1" t="str">
        <f>"2388"</f>
        <v>2388</v>
      </c>
      <c r="F49" s="1" t="s">
        <v>102</v>
      </c>
      <c r="G49" s="1" t="s">
        <v>25</v>
      </c>
      <c r="H49" s="1" t="s">
        <v>24</v>
      </c>
      <c r="I49" s="1" t="s">
        <v>23</v>
      </c>
      <c r="J49" s="1" t="s">
        <v>22</v>
      </c>
    </row>
    <row r="50" spans="1:10" ht="19.5" customHeight="1" x14ac:dyDescent="0.25">
      <c r="A50" s="1" t="s">
        <v>4</v>
      </c>
      <c r="B50" s="1" t="str">
        <f>" 341"</f>
        <v xml:space="preserve"> 341</v>
      </c>
      <c r="C50" s="1" t="str">
        <f>"01L"</f>
        <v>01L</v>
      </c>
      <c r="D50" s="1" t="s">
        <v>98</v>
      </c>
      <c r="E50" s="1" t="str">
        <f>"2389"</f>
        <v>2389</v>
      </c>
      <c r="F50" s="1" t="s">
        <v>97</v>
      </c>
      <c r="G50" s="1" t="s">
        <v>29</v>
      </c>
      <c r="H50" s="1" t="s">
        <v>28</v>
      </c>
      <c r="I50" s="1" t="s">
        <v>96</v>
      </c>
      <c r="J50" s="1" t="s">
        <v>22</v>
      </c>
    </row>
    <row r="51" spans="1:10" ht="19.5" customHeight="1" x14ac:dyDescent="0.25">
      <c r="A51" s="1" t="s">
        <v>4</v>
      </c>
      <c r="B51" s="1" t="str">
        <f>" 341"</f>
        <v xml:space="preserve"> 341</v>
      </c>
      <c r="C51" s="1" t="str">
        <f>"02L"</f>
        <v>02L</v>
      </c>
      <c r="D51" s="1" t="s">
        <v>98</v>
      </c>
      <c r="E51" s="1" t="str">
        <f>"2605"</f>
        <v>2605</v>
      </c>
      <c r="F51" s="1" t="s">
        <v>97</v>
      </c>
      <c r="G51" s="1" t="s">
        <v>29</v>
      </c>
      <c r="H51" s="1" t="s">
        <v>28</v>
      </c>
      <c r="I51" s="1" t="s">
        <v>99</v>
      </c>
      <c r="J51" s="1" t="s">
        <v>22</v>
      </c>
    </row>
    <row r="52" spans="1:10" ht="19.5" customHeight="1" x14ac:dyDescent="0.25">
      <c r="A52" s="1" t="s">
        <v>4</v>
      </c>
      <c r="B52" s="1" t="str">
        <f>" 341"</f>
        <v xml:space="preserve"> 341</v>
      </c>
      <c r="C52" s="1" t="str">
        <f>"03L"</f>
        <v>03L</v>
      </c>
      <c r="D52" s="1" t="s">
        <v>98</v>
      </c>
      <c r="E52" s="1" t="str">
        <f>"3049"</f>
        <v>3049</v>
      </c>
      <c r="F52" s="1" t="s">
        <v>97</v>
      </c>
      <c r="G52" s="1" t="s">
        <v>101</v>
      </c>
      <c r="H52" s="1" t="s">
        <v>100</v>
      </c>
      <c r="I52" s="1" t="s">
        <v>96</v>
      </c>
      <c r="J52" s="1" t="s">
        <v>22</v>
      </c>
    </row>
    <row r="53" spans="1:10" ht="19.5" customHeight="1" x14ac:dyDescent="0.25">
      <c r="A53" s="1" t="s">
        <v>4</v>
      </c>
      <c r="B53" s="1" t="str">
        <f>" 341"</f>
        <v xml:space="preserve"> 341</v>
      </c>
      <c r="C53" s="1" t="str">
        <f>"04L"</f>
        <v>04L</v>
      </c>
      <c r="D53" s="1" t="s">
        <v>98</v>
      </c>
      <c r="E53" s="1" t="str">
        <f>"3351"</f>
        <v>3351</v>
      </c>
      <c r="F53" s="1" t="s">
        <v>97</v>
      </c>
      <c r="G53" s="1" t="s">
        <v>101</v>
      </c>
      <c r="H53" s="1" t="s">
        <v>100</v>
      </c>
      <c r="I53" s="1" t="s">
        <v>99</v>
      </c>
      <c r="J53" s="1" t="s">
        <v>22</v>
      </c>
    </row>
    <row r="54" spans="1:10" ht="19.5" customHeight="1" x14ac:dyDescent="0.25">
      <c r="A54" s="1" t="s">
        <v>4</v>
      </c>
      <c r="B54" s="1" t="str">
        <f>" 341"</f>
        <v xml:space="preserve"> 341</v>
      </c>
      <c r="C54" s="1" t="str">
        <f>"05L"</f>
        <v>05L</v>
      </c>
      <c r="D54" s="1" t="s">
        <v>98</v>
      </c>
      <c r="E54" s="1" t="str">
        <f>"4053"</f>
        <v>4053</v>
      </c>
      <c r="F54" s="1" t="s">
        <v>97</v>
      </c>
      <c r="G54" s="1" t="s">
        <v>45</v>
      </c>
      <c r="H54" s="1" t="s">
        <v>44</v>
      </c>
      <c r="I54" s="1" t="s">
        <v>96</v>
      </c>
      <c r="J54" s="1" t="s">
        <v>22</v>
      </c>
    </row>
    <row r="55" spans="1:10" ht="19.5" customHeight="1" x14ac:dyDescent="0.25">
      <c r="A55" s="1" t="s">
        <v>4</v>
      </c>
      <c r="B55" s="1" t="str">
        <f>" 410"</f>
        <v xml:space="preserve"> 410</v>
      </c>
      <c r="C55" s="1" t="str">
        <f>"01"</f>
        <v>01</v>
      </c>
      <c r="D55" s="1" t="s">
        <v>95</v>
      </c>
      <c r="E55" s="1" t="str">
        <f>"2390"</f>
        <v>2390</v>
      </c>
      <c r="F55" s="1" t="s">
        <v>69</v>
      </c>
      <c r="G55" s="1" t="s">
        <v>80</v>
      </c>
      <c r="H55" s="1" t="s">
        <v>79</v>
      </c>
      <c r="I55" s="1" t="s">
        <v>23</v>
      </c>
      <c r="J55" s="1" t="s">
        <v>17</v>
      </c>
    </row>
    <row r="56" spans="1:10" ht="19.5" customHeight="1" x14ac:dyDescent="0.25">
      <c r="A56" s="1" t="s">
        <v>4</v>
      </c>
      <c r="B56" s="1" t="str">
        <f>" 410"</f>
        <v xml:space="preserve"> 410</v>
      </c>
      <c r="C56" s="1" t="str">
        <f>"02"</f>
        <v>02</v>
      </c>
      <c r="D56" s="1" t="s">
        <v>95</v>
      </c>
      <c r="E56" s="1" t="str">
        <f>"3686"</f>
        <v>3686</v>
      </c>
      <c r="F56" s="1" t="s">
        <v>89</v>
      </c>
      <c r="G56" s="1" t="s">
        <v>45</v>
      </c>
      <c r="H56" s="1" t="s">
        <v>44</v>
      </c>
      <c r="I56" s="1" t="s">
        <v>23</v>
      </c>
      <c r="J56" s="1" t="s">
        <v>88</v>
      </c>
    </row>
    <row r="57" spans="1:10" ht="19.5" customHeight="1" x14ac:dyDescent="0.25">
      <c r="A57" s="1" t="s">
        <v>4</v>
      </c>
      <c r="B57" s="1" t="str">
        <f>" 415"</f>
        <v xml:space="preserve"> 415</v>
      </c>
      <c r="C57" s="1" t="str">
        <f>"01"</f>
        <v>01</v>
      </c>
      <c r="D57" s="1" t="s">
        <v>71</v>
      </c>
      <c r="E57" s="1" t="str">
        <f>"10665"</f>
        <v>10665</v>
      </c>
      <c r="F57" s="1" t="s">
        <v>2</v>
      </c>
      <c r="G57" s="1" t="s">
        <v>2</v>
      </c>
      <c r="H57" s="1" t="s">
        <v>2</v>
      </c>
      <c r="I57" s="1" t="s">
        <v>23</v>
      </c>
      <c r="J57" s="1" t="s">
        <v>2</v>
      </c>
    </row>
    <row r="58" spans="1:10" ht="19.5" customHeight="1" x14ac:dyDescent="0.25">
      <c r="A58" s="1" t="s">
        <v>4</v>
      </c>
      <c r="B58" s="1" t="str">
        <f>" 420"</f>
        <v xml:space="preserve"> 420</v>
      </c>
      <c r="C58" s="1" t="str">
        <f>"01"</f>
        <v>01</v>
      </c>
      <c r="D58" s="1" t="s">
        <v>94</v>
      </c>
      <c r="E58" s="1" t="str">
        <f>"1407"</f>
        <v>1407</v>
      </c>
      <c r="F58" s="1" t="s">
        <v>89</v>
      </c>
      <c r="G58" s="1" t="s">
        <v>45</v>
      </c>
      <c r="H58" s="1" t="s">
        <v>44</v>
      </c>
      <c r="I58" s="1" t="s">
        <v>35</v>
      </c>
      <c r="J58" s="1" t="s">
        <v>88</v>
      </c>
    </row>
    <row r="59" spans="1:10" ht="19.5" customHeight="1" x14ac:dyDescent="0.25">
      <c r="A59" s="1" t="s">
        <v>4</v>
      </c>
      <c r="B59" s="1" t="str">
        <f>" 420"</f>
        <v xml:space="preserve"> 420</v>
      </c>
      <c r="C59" s="1" t="str">
        <f>"02"</f>
        <v>02</v>
      </c>
      <c r="D59" s="1" t="s">
        <v>94</v>
      </c>
      <c r="E59" s="1" t="str">
        <f>"3352"</f>
        <v>3352</v>
      </c>
      <c r="F59" s="1" t="s">
        <v>89</v>
      </c>
      <c r="G59" s="1" t="s">
        <v>60</v>
      </c>
      <c r="H59" s="1" t="s">
        <v>59</v>
      </c>
      <c r="I59" s="1" t="s">
        <v>23</v>
      </c>
      <c r="J59" s="1" t="s">
        <v>20</v>
      </c>
    </row>
    <row r="60" spans="1:10" ht="19.5" customHeight="1" x14ac:dyDescent="0.25">
      <c r="A60" s="1" t="s">
        <v>4</v>
      </c>
      <c r="B60" s="1" t="str">
        <f>" 420"</f>
        <v xml:space="preserve"> 420</v>
      </c>
      <c r="C60" s="1" t="str">
        <f>"03"</f>
        <v>03</v>
      </c>
      <c r="D60" s="1" t="s">
        <v>94</v>
      </c>
      <c r="E60" s="1" t="str">
        <f>"10678"</f>
        <v>10678</v>
      </c>
      <c r="F60" s="1" t="s">
        <v>93</v>
      </c>
      <c r="G60" s="1" t="s">
        <v>80</v>
      </c>
      <c r="H60" s="1" t="s">
        <v>79</v>
      </c>
      <c r="I60" s="1" t="s">
        <v>23</v>
      </c>
      <c r="J60" s="1" t="s">
        <v>20</v>
      </c>
    </row>
    <row r="61" spans="1:10" ht="19.5" customHeight="1" x14ac:dyDescent="0.25">
      <c r="A61" s="1" t="s">
        <v>4</v>
      </c>
      <c r="B61" s="1" t="str">
        <f>" 430"</f>
        <v xml:space="preserve"> 430</v>
      </c>
      <c r="C61" s="1" t="str">
        <f>"01"</f>
        <v>01</v>
      </c>
      <c r="D61" s="1" t="s">
        <v>92</v>
      </c>
      <c r="E61" s="1" t="str">
        <f>"1408"</f>
        <v>1408</v>
      </c>
      <c r="F61" s="1" t="s">
        <v>64</v>
      </c>
      <c r="G61" s="1" t="s">
        <v>25</v>
      </c>
      <c r="H61" s="1" t="s">
        <v>24</v>
      </c>
      <c r="I61" s="1" t="s">
        <v>35</v>
      </c>
      <c r="J61" s="1" t="s">
        <v>63</v>
      </c>
    </row>
    <row r="62" spans="1:10" ht="19.5" customHeight="1" x14ac:dyDescent="0.25">
      <c r="A62" s="1" t="s">
        <v>4</v>
      </c>
      <c r="B62" s="1" t="str">
        <f>" 437"</f>
        <v xml:space="preserve"> 437</v>
      </c>
      <c r="C62" s="1" t="str">
        <f>"01"</f>
        <v>01</v>
      </c>
      <c r="D62" s="1" t="s">
        <v>91</v>
      </c>
      <c r="E62" s="1" t="str">
        <f>"3759"</f>
        <v>3759</v>
      </c>
      <c r="F62" s="1" t="s">
        <v>56</v>
      </c>
      <c r="G62" s="1" t="s">
        <v>29</v>
      </c>
      <c r="H62" s="1" t="s">
        <v>28</v>
      </c>
      <c r="I62" s="1" t="s">
        <v>35</v>
      </c>
      <c r="J62" s="1" t="s">
        <v>22</v>
      </c>
    </row>
    <row r="63" spans="1:10" ht="19.5" customHeight="1" x14ac:dyDescent="0.25">
      <c r="A63" s="1" t="s">
        <v>4</v>
      </c>
      <c r="B63" s="1" t="str">
        <f>" 438"</f>
        <v xml:space="preserve"> 438</v>
      </c>
      <c r="C63" s="1" t="str">
        <f>"01"</f>
        <v>01</v>
      </c>
      <c r="D63" s="1" t="s">
        <v>55</v>
      </c>
      <c r="E63" s="1" t="str">
        <f>"3229"</f>
        <v>3229</v>
      </c>
      <c r="F63" s="1" t="s">
        <v>54</v>
      </c>
      <c r="G63" s="1" t="s">
        <v>45</v>
      </c>
      <c r="H63" s="1" t="s">
        <v>44</v>
      </c>
      <c r="I63" s="1" t="s">
        <v>35</v>
      </c>
      <c r="J63" s="1" t="s">
        <v>14</v>
      </c>
    </row>
    <row r="64" spans="1:10" ht="19.5" customHeight="1" x14ac:dyDescent="0.25">
      <c r="A64" s="1" t="s">
        <v>4</v>
      </c>
      <c r="B64" s="1" t="str">
        <f>" 442"</f>
        <v xml:space="preserve"> 442</v>
      </c>
      <c r="C64" s="1" t="str">
        <f>"01"</f>
        <v>01</v>
      </c>
      <c r="D64" s="1" t="s">
        <v>53</v>
      </c>
      <c r="E64" s="1" t="str">
        <f>"3687"</f>
        <v>3687</v>
      </c>
      <c r="F64" s="1" t="s">
        <v>52</v>
      </c>
      <c r="G64" s="1" t="s">
        <v>45</v>
      </c>
      <c r="H64" s="1" t="s">
        <v>44</v>
      </c>
      <c r="I64" s="1" t="s">
        <v>35</v>
      </c>
      <c r="J64" s="1" t="s">
        <v>5</v>
      </c>
    </row>
    <row r="65" spans="1:10" ht="19.5" customHeight="1" x14ac:dyDescent="0.25">
      <c r="A65" s="1" t="s">
        <v>4</v>
      </c>
      <c r="B65" s="1" t="str">
        <f>" 444"</f>
        <v xml:space="preserve"> 444</v>
      </c>
      <c r="C65" s="1" t="str">
        <f>"01"</f>
        <v>01</v>
      </c>
      <c r="D65" s="1" t="s">
        <v>90</v>
      </c>
      <c r="E65" s="1" t="str">
        <f>"1409"</f>
        <v>1409</v>
      </c>
      <c r="F65" s="1" t="s">
        <v>41</v>
      </c>
      <c r="G65" s="1" t="s">
        <v>60</v>
      </c>
      <c r="H65" s="1" t="s">
        <v>59</v>
      </c>
      <c r="I65" s="1" t="s">
        <v>23</v>
      </c>
      <c r="J65" s="1" t="s">
        <v>88</v>
      </c>
    </row>
    <row r="66" spans="1:10" ht="19.5" customHeight="1" x14ac:dyDescent="0.25">
      <c r="A66" s="1" t="s">
        <v>4</v>
      </c>
      <c r="B66" s="1" t="str">
        <f>" 444"</f>
        <v xml:space="preserve"> 444</v>
      </c>
      <c r="C66" s="1" t="str">
        <f>"02"</f>
        <v>02</v>
      </c>
      <c r="D66" s="1" t="s">
        <v>90</v>
      </c>
      <c r="E66" s="1" t="str">
        <f>"3737"</f>
        <v>3737</v>
      </c>
      <c r="F66" s="1" t="s">
        <v>89</v>
      </c>
      <c r="G66" s="1" t="s">
        <v>29</v>
      </c>
      <c r="H66" s="1" t="s">
        <v>28</v>
      </c>
      <c r="I66" s="1" t="s">
        <v>23</v>
      </c>
      <c r="J66" s="1" t="s">
        <v>88</v>
      </c>
    </row>
    <row r="67" spans="1:10" ht="19.5" customHeight="1" x14ac:dyDescent="0.25">
      <c r="A67" s="1" t="s">
        <v>4</v>
      </c>
      <c r="B67" s="1" t="str">
        <f>" 446"</f>
        <v xml:space="preserve"> 446</v>
      </c>
      <c r="C67" s="1" t="str">
        <f>"01"</f>
        <v>01</v>
      </c>
      <c r="D67" s="1" t="s">
        <v>87</v>
      </c>
      <c r="E67" s="1" t="str">
        <f>"2889"</f>
        <v>2889</v>
      </c>
      <c r="F67" s="1" t="s">
        <v>50</v>
      </c>
      <c r="G67" s="1" t="s">
        <v>49</v>
      </c>
      <c r="H67" s="1" t="s">
        <v>48</v>
      </c>
      <c r="I67" s="1" t="s">
        <v>23</v>
      </c>
      <c r="J67" s="1" t="s">
        <v>9</v>
      </c>
    </row>
    <row r="68" spans="1:10" ht="19.5" customHeight="1" x14ac:dyDescent="0.25">
      <c r="A68" s="1" t="s">
        <v>4</v>
      </c>
      <c r="B68" s="1" t="str">
        <f>" 449"</f>
        <v xml:space="preserve"> 449</v>
      </c>
      <c r="C68" s="1" t="str">
        <f>"01"</f>
        <v>01</v>
      </c>
      <c r="D68" s="1" t="s">
        <v>86</v>
      </c>
      <c r="E68" s="1" t="str">
        <f>"3705"</f>
        <v>3705</v>
      </c>
      <c r="F68" s="1" t="s">
        <v>50</v>
      </c>
      <c r="G68" s="1" t="s">
        <v>45</v>
      </c>
      <c r="H68" s="1" t="s">
        <v>44</v>
      </c>
      <c r="I68" s="1" t="s">
        <v>35</v>
      </c>
      <c r="J68" s="1" t="s">
        <v>11</v>
      </c>
    </row>
    <row r="69" spans="1:10" ht="19.5" customHeight="1" x14ac:dyDescent="0.25">
      <c r="A69" s="1" t="s">
        <v>4</v>
      </c>
      <c r="B69" s="1" t="str">
        <f>" 449"</f>
        <v xml:space="preserve"> 449</v>
      </c>
      <c r="C69" s="1" t="str">
        <f>"02"</f>
        <v>02</v>
      </c>
      <c r="D69" s="1" t="s">
        <v>86</v>
      </c>
      <c r="E69" s="1" t="str">
        <f>"10579"</f>
        <v>10579</v>
      </c>
      <c r="F69" s="1" t="s">
        <v>85</v>
      </c>
      <c r="G69" s="1" t="s">
        <v>29</v>
      </c>
      <c r="H69" s="1" t="s">
        <v>28</v>
      </c>
      <c r="I69" s="1" t="s">
        <v>35</v>
      </c>
      <c r="J69" s="1" t="s">
        <v>11</v>
      </c>
    </row>
    <row r="70" spans="1:10" ht="19.5" customHeight="1" x14ac:dyDescent="0.25">
      <c r="A70" s="1" t="s">
        <v>4</v>
      </c>
      <c r="B70" s="1" t="str">
        <f>" 450"</f>
        <v xml:space="preserve"> 450</v>
      </c>
      <c r="C70" s="1" t="str">
        <f>"01"</f>
        <v>01</v>
      </c>
      <c r="D70" s="1" t="s">
        <v>84</v>
      </c>
      <c r="E70" s="1" t="str">
        <f>"1410"</f>
        <v>1410</v>
      </c>
      <c r="F70" s="1" t="s">
        <v>41</v>
      </c>
      <c r="G70" s="1" t="s">
        <v>49</v>
      </c>
      <c r="H70" s="1" t="s">
        <v>48</v>
      </c>
      <c r="I70" s="1" t="s">
        <v>23</v>
      </c>
      <c r="J70" s="1" t="s">
        <v>72</v>
      </c>
    </row>
    <row r="71" spans="1:10" ht="19.5" customHeight="1" x14ac:dyDescent="0.25">
      <c r="A71" s="1" t="s">
        <v>4</v>
      </c>
      <c r="B71" s="1" t="str">
        <f>" 450"</f>
        <v xml:space="preserve"> 450</v>
      </c>
      <c r="C71" s="1" t="str">
        <f>"02"</f>
        <v>02</v>
      </c>
      <c r="D71" s="1" t="s">
        <v>84</v>
      </c>
      <c r="E71" s="1" t="str">
        <f>"3742"</f>
        <v>3742</v>
      </c>
      <c r="F71" s="1" t="s">
        <v>41</v>
      </c>
      <c r="G71" s="1" t="s">
        <v>45</v>
      </c>
      <c r="H71" s="1" t="s">
        <v>44</v>
      </c>
      <c r="I71" s="1" t="s">
        <v>23</v>
      </c>
      <c r="J71" s="1" t="s">
        <v>72</v>
      </c>
    </row>
    <row r="72" spans="1:10" ht="19.5" customHeight="1" x14ac:dyDescent="0.25">
      <c r="A72" s="1" t="s">
        <v>4</v>
      </c>
      <c r="B72" s="1" t="str">
        <f>" 451"</f>
        <v xml:space="preserve"> 451</v>
      </c>
      <c r="C72" s="1" t="str">
        <f>"01"</f>
        <v>01</v>
      </c>
      <c r="D72" s="1" t="s">
        <v>83</v>
      </c>
      <c r="E72" s="1" t="str">
        <f>"2333"</f>
        <v>2333</v>
      </c>
      <c r="F72" s="1" t="s">
        <v>46</v>
      </c>
      <c r="G72" s="1" t="s">
        <v>45</v>
      </c>
      <c r="H72" s="1" t="s">
        <v>44</v>
      </c>
      <c r="I72" s="1" t="s">
        <v>23</v>
      </c>
      <c r="J72" s="1" t="s">
        <v>43</v>
      </c>
    </row>
    <row r="73" spans="1:10" ht="19.5" customHeight="1" x14ac:dyDescent="0.25">
      <c r="A73" s="1" t="s">
        <v>4</v>
      </c>
      <c r="B73" s="1" t="str">
        <f>" 460"</f>
        <v xml:space="preserve"> 460</v>
      </c>
      <c r="C73" s="1" t="str">
        <f>"01"</f>
        <v>01</v>
      </c>
      <c r="D73" s="1" t="s">
        <v>82</v>
      </c>
      <c r="E73" s="1" t="str">
        <f>"2611"</f>
        <v>2611</v>
      </c>
      <c r="F73" s="1" t="s">
        <v>81</v>
      </c>
      <c r="G73" s="1" t="s">
        <v>80</v>
      </c>
      <c r="H73" s="1" t="s">
        <v>79</v>
      </c>
      <c r="I73" s="1" t="s">
        <v>23</v>
      </c>
      <c r="J73" s="1" t="s">
        <v>8</v>
      </c>
    </row>
    <row r="74" spans="1:10" ht="19.5" customHeight="1" x14ac:dyDescent="0.25">
      <c r="A74" s="1" t="s">
        <v>4</v>
      </c>
      <c r="B74" s="1" t="str">
        <f>" 461"</f>
        <v xml:space="preserve"> 461</v>
      </c>
      <c r="C74" s="1" t="str">
        <f>"01"</f>
        <v>01</v>
      </c>
      <c r="D74" s="1" t="s">
        <v>78</v>
      </c>
      <c r="E74" s="1" t="str">
        <f>"4517"</f>
        <v>4517</v>
      </c>
      <c r="F74" s="1" t="s">
        <v>77</v>
      </c>
      <c r="G74" s="1" t="s">
        <v>45</v>
      </c>
      <c r="H74" s="1" t="s">
        <v>44</v>
      </c>
      <c r="I74" s="1" t="s">
        <v>23</v>
      </c>
      <c r="J74" s="1" t="s">
        <v>13</v>
      </c>
    </row>
    <row r="75" spans="1:10" ht="19.5" customHeight="1" x14ac:dyDescent="0.25">
      <c r="A75" s="1" t="s">
        <v>4</v>
      </c>
      <c r="B75" s="1" t="str">
        <f>" 470"</f>
        <v xml:space="preserve"> 470</v>
      </c>
      <c r="C75" s="1" t="str">
        <f>"01"</f>
        <v>01</v>
      </c>
      <c r="D75" s="1" t="s">
        <v>76</v>
      </c>
      <c r="E75" s="1" t="str">
        <f>"3554"</f>
        <v>3554</v>
      </c>
      <c r="F75" s="1" t="s">
        <v>41</v>
      </c>
      <c r="G75" s="1" t="s">
        <v>29</v>
      </c>
      <c r="H75" s="1" t="s">
        <v>28</v>
      </c>
      <c r="I75" s="1" t="s">
        <v>35</v>
      </c>
      <c r="J75" s="1" t="s">
        <v>40</v>
      </c>
    </row>
    <row r="76" spans="1:10" ht="19.5" customHeight="1" x14ac:dyDescent="0.25">
      <c r="A76" s="1" t="s">
        <v>4</v>
      </c>
      <c r="B76" s="1" t="str">
        <f>" 478"</f>
        <v xml:space="preserve"> 478</v>
      </c>
      <c r="C76" s="1" t="str">
        <f>"01"</f>
        <v>01</v>
      </c>
      <c r="D76" s="1" t="s">
        <v>19</v>
      </c>
      <c r="E76" s="1" t="str">
        <f>"1411"</f>
        <v>1411</v>
      </c>
      <c r="F76" s="1" t="s">
        <v>2</v>
      </c>
      <c r="G76" s="1"/>
      <c r="H76" s="1"/>
      <c r="I76" s="1" t="s">
        <v>1</v>
      </c>
      <c r="J76" s="1" t="s">
        <v>43</v>
      </c>
    </row>
    <row r="77" spans="1:10" ht="19.5" customHeight="1" x14ac:dyDescent="0.25">
      <c r="A77" s="1" t="s">
        <v>4</v>
      </c>
      <c r="B77" s="1" t="str">
        <f>" 478"</f>
        <v xml:space="preserve"> 478</v>
      </c>
      <c r="C77" s="1" t="str">
        <f>"02"</f>
        <v>02</v>
      </c>
      <c r="D77" s="1" t="s">
        <v>19</v>
      </c>
      <c r="E77" s="1" t="str">
        <f>"1412"</f>
        <v>1412</v>
      </c>
      <c r="F77" s="1" t="s">
        <v>2</v>
      </c>
      <c r="G77" s="1"/>
      <c r="H77" s="1"/>
      <c r="I77" s="1" t="s">
        <v>1</v>
      </c>
      <c r="J77" s="1" t="s">
        <v>11</v>
      </c>
    </row>
    <row r="78" spans="1:10" ht="19.5" customHeight="1" x14ac:dyDescent="0.25">
      <c r="A78" s="1" t="s">
        <v>4</v>
      </c>
      <c r="B78" s="1" t="str">
        <f>" 478"</f>
        <v xml:space="preserve"> 478</v>
      </c>
      <c r="C78" s="1" t="str">
        <f>"03"</f>
        <v>03</v>
      </c>
      <c r="D78" s="1" t="s">
        <v>19</v>
      </c>
      <c r="E78" s="1" t="str">
        <f>"1413"</f>
        <v>1413</v>
      </c>
      <c r="F78" s="1" t="s">
        <v>2</v>
      </c>
      <c r="G78" s="1"/>
      <c r="H78" s="1"/>
      <c r="I78" s="1" t="s">
        <v>1</v>
      </c>
      <c r="J78" s="1" t="s">
        <v>17</v>
      </c>
    </row>
    <row r="79" spans="1:10" ht="19.5" customHeight="1" x14ac:dyDescent="0.25">
      <c r="A79" s="1" t="s">
        <v>4</v>
      </c>
      <c r="B79" s="1" t="str">
        <f>" 478"</f>
        <v xml:space="preserve"> 478</v>
      </c>
      <c r="C79" s="1" t="str">
        <f>"04"</f>
        <v>04</v>
      </c>
      <c r="D79" s="1" t="s">
        <v>19</v>
      </c>
      <c r="E79" s="1" t="str">
        <f>"1414"</f>
        <v>1414</v>
      </c>
      <c r="F79" s="1" t="s">
        <v>2</v>
      </c>
      <c r="G79" s="1"/>
      <c r="H79" s="1"/>
      <c r="I79" s="1" t="s">
        <v>1</v>
      </c>
      <c r="J79" s="1" t="s">
        <v>72</v>
      </c>
    </row>
    <row r="80" spans="1:10" ht="19.5" customHeight="1" x14ac:dyDescent="0.25">
      <c r="A80" s="1" t="s">
        <v>4</v>
      </c>
      <c r="B80" s="1" t="str">
        <f>" 478"</f>
        <v xml:space="preserve"> 478</v>
      </c>
      <c r="C80" s="1" t="str">
        <f>"05"</f>
        <v>05</v>
      </c>
      <c r="D80" s="1" t="s">
        <v>19</v>
      </c>
      <c r="E80" s="1" t="str">
        <f>"1415"</f>
        <v>1415</v>
      </c>
      <c r="F80" s="1" t="s">
        <v>2</v>
      </c>
      <c r="G80" s="1"/>
      <c r="H80" s="1"/>
      <c r="I80" s="1" t="s">
        <v>1</v>
      </c>
      <c r="J80" s="1" t="s">
        <v>8</v>
      </c>
    </row>
    <row r="81" spans="1:10" ht="19.5" customHeight="1" x14ac:dyDescent="0.25">
      <c r="A81" s="1" t="s">
        <v>4</v>
      </c>
      <c r="B81" s="1" t="str">
        <f>" 478"</f>
        <v xml:space="preserve"> 478</v>
      </c>
      <c r="C81" s="1" t="str">
        <f>"06"</f>
        <v>06</v>
      </c>
      <c r="D81" s="1" t="s">
        <v>19</v>
      </c>
      <c r="E81" s="1" t="str">
        <f>"2452"</f>
        <v>2452</v>
      </c>
      <c r="F81" s="1" t="s">
        <v>2</v>
      </c>
      <c r="G81" s="1"/>
      <c r="H81" s="1"/>
      <c r="I81" s="1" t="s">
        <v>1</v>
      </c>
      <c r="J81" s="1" t="s">
        <v>5</v>
      </c>
    </row>
    <row r="82" spans="1:10" ht="19.5" customHeight="1" x14ac:dyDescent="0.25">
      <c r="A82" s="1" t="s">
        <v>4</v>
      </c>
      <c r="B82" s="1" t="str">
        <f>" 495"</f>
        <v xml:space="preserve"> 495</v>
      </c>
      <c r="C82" s="1" t="str">
        <f>"01"</f>
        <v>01</v>
      </c>
      <c r="D82" s="1" t="s">
        <v>74</v>
      </c>
      <c r="E82" s="1" t="str">
        <f>"1807"</f>
        <v>1807</v>
      </c>
      <c r="F82" s="1" t="s">
        <v>2</v>
      </c>
      <c r="G82" s="1"/>
      <c r="H82" s="1"/>
      <c r="I82" s="1" t="s">
        <v>1</v>
      </c>
      <c r="J82" s="1" t="s">
        <v>6</v>
      </c>
    </row>
    <row r="83" spans="1:10" ht="19.5" customHeight="1" x14ac:dyDescent="0.25">
      <c r="A83" s="1" t="s">
        <v>4</v>
      </c>
      <c r="B83" s="1" t="str">
        <f>" 495"</f>
        <v xml:space="preserve"> 495</v>
      </c>
      <c r="C83" s="1" t="str">
        <f>"02"</f>
        <v>02</v>
      </c>
      <c r="D83" s="1" t="s">
        <v>74</v>
      </c>
      <c r="E83" s="1" t="str">
        <f>"2156"</f>
        <v>2156</v>
      </c>
      <c r="F83" s="1" t="s">
        <v>2</v>
      </c>
      <c r="G83" s="1"/>
      <c r="H83" s="1"/>
      <c r="I83" s="1" t="s">
        <v>1</v>
      </c>
      <c r="J83" s="1" t="s">
        <v>7</v>
      </c>
    </row>
    <row r="84" spans="1:10" ht="19.5" customHeight="1" x14ac:dyDescent="0.25">
      <c r="A84" s="1" t="s">
        <v>4</v>
      </c>
      <c r="B84" s="1" t="str">
        <f>" 495"</f>
        <v xml:space="preserve"> 495</v>
      </c>
      <c r="C84" s="1" t="str">
        <f>"03"</f>
        <v>03</v>
      </c>
      <c r="D84" s="1" t="s">
        <v>74</v>
      </c>
      <c r="E84" s="1" t="str">
        <f>"3000"</f>
        <v>3000</v>
      </c>
      <c r="F84" s="1" t="s">
        <v>2</v>
      </c>
      <c r="G84" s="1"/>
      <c r="H84" s="1"/>
      <c r="I84" s="1" t="s">
        <v>1</v>
      </c>
      <c r="J84" s="1" t="s">
        <v>75</v>
      </c>
    </row>
    <row r="85" spans="1:10" ht="19.5" customHeight="1" x14ac:dyDescent="0.25">
      <c r="A85" s="1" t="s">
        <v>4</v>
      </c>
      <c r="B85" s="1" t="str">
        <f>" 495"</f>
        <v xml:space="preserve"> 495</v>
      </c>
      <c r="C85" s="1" t="str">
        <f>"04"</f>
        <v>04</v>
      </c>
      <c r="D85" s="1" t="s">
        <v>74</v>
      </c>
      <c r="E85" s="1" t="str">
        <f>"4056"</f>
        <v>4056</v>
      </c>
      <c r="F85" s="1" t="s">
        <v>2</v>
      </c>
      <c r="G85" s="1"/>
      <c r="H85" s="1"/>
      <c r="I85" s="1" t="s">
        <v>1</v>
      </c>
      <c r="J85" s="1" t="s">
        <v>72</v>
      </c>
    </row>
    <row r="86" spans="1:10" ht="19.5" customHeight="1" x14ac:dyDescent="0.25">
      <c r="A86" s="1" t="s">
        <v>4</v>
      </c>
      <c r="B86" s="1" t="str">
        <f>" 498"</f>
        <v xml:space="preserve"> 498</v>
      </c>
      <c r="C86" s="1" t="str">
        <f>"01"</f>
        <v>01</v>
      </c>
      <c r="D86" s="1" t="s">
        <v>73</v>
      </c>
      <c r="E86" s="1" t="str">
        <f>"1416"</f>
        <v>1416</v>
      </c>
      <c r="F86" s="1" t="s">
        <v>2</v>
      </c>
      <c r="G86" s="1"/>
      <c r="H86" s="1"/>
      <c r="I86" s="1" t="s">
        <v>1</v>
      </c>
      <c r="J86" s="1" t="s">
        <v>72</v>
      </c>
    </row>
    <row r="87" spans="1:10" ht="19.5" customHeight="1" x14ac:dyDescent="0.25">
      <c r="A87" s="1" t="s">
        <v>4</v>
      </c>
      <c r="B87" s="1" t="str">
        <f>" 615"</f>
        <v xml:space="preserve"> 615</v>
      </c>
      <c r="C87" s="1" t="str">
        <f>"01"</f>
        <v>01</v>
      </c>
      <c r="D87" s="1" t="s">
        <v>71</v>
      </c>
      <c r="E87" s="1" t="str">
        <f>"10666"</f>
        <v>10666</v>
      </c>
      <c r="F87" s="1" t="s">
        <v>2</v>
      </c>
      <c r="G87" s="1" t="s">
        <v>2</v>
      </c>
      <c r="H87" s="1" t="s">
        <v>2</v>
      </c>
      <c r="I87" s="1" t="s">
        <v>1</v>
      </c>
      <c r="J87" s="1" t="s">
        <v>2</v>
      </c>
    </row>
    <row r="88" spans="1:10" ht="19.5" customHeight="1" x14ac:dyDescent="0.25">
      <c r="A88" s="1" t="s">
        <v>4</v>
      </c>
      <c r="B88" s="1" t="str">
        <f>" 620"</f>
        <v xml:space="preserve"> 620</v>
      </c>
      <c r="C88" s="1" t="str">
        <f>"01"</f>
        <v>01</v>
      </c>
      <c r="D88" s="1" t="s">
        <v>70</v>
      </c>
      <c r="E88" s="1" t="str">
        <f>"4555"</f>
        <v>4555</v>
      </c>
      <c r="F88" s="1" t="s">
        <v>69</v>
      </c>
      <c r="G88" s="1" t="s">
        <v>45</v>
      </c>
      <c r="H88" s="1" t="s">
        <v>44</v>
      </c>
      <c r="I88" s="1" t="s">
        <v>35</v>
      </c>
      <c r="J88" s="1" t="s">
        <v>68</v>
      </c>
    </row>
    <row r="89" spans="1:10" ht="19.5" customHeight="1" x14ac:dyDescent="0.25">
      <c r="A89" s="1" t="s">
        <v>4</v>
      </c>
      <c r="B89" s="1" t="str">
        <f>" 624"</f>
        <v xml:space="preserve"> 624</v>
      </c>
      <c r="C89" s="1" t="str">
        <f>"01"</f>
        <v>01</v>
      </c>
      <c r="D89" s="1" t="s">
        <v>67</v>
      </c>
      <c r="E89" s="1" t="str">
        <f>"2612"</f>
        <v>2612</v>
      </c>
      <c r="F89" s="1" t="s">
        <v>66</v>
      </c>
      <c r="G89" s="1" t="s">
        <v>29</v>
      </c>
      <c r="H89" s="1" t="s">
        <v>28</v>
      </c>
      <c r="I89" s="1" t="s">
        <v>35</v>
      </c>
      <c r="J89" s="1" t="s">
        <v>6</v>
      </c>
    </row>
    <row r="90" spans="1:10" ht="19.5" customHeight="1" x14ac:dyDescent="0.25">
      <c r="A90" s="1" t="s">
        <v>4</v>
      </c>
      <c r="B90" s="1" t="str">
        <f>" 630"</f>
        <v xml:space="preserve"> 630</v>
      </c>
      <c r="C90" s="1" t="str">
        <f>"01"</f>
        <v>01</v>
      </c>
      <c r="D90" s="1" t="s">
        <v>65</v>
      </c>
      <c r="E90" s="1" t="str">
        <f>"1158"</f>
        <v>1158</v>
      </c>
      <c r="F90" s="1" t="s">
        <v>64</v>
      </c>
      <c r="G90" s="1" t="s">
        <v>25</v>
      </c>
      <c r="H90" s="1" t="s">
        <v>24</v>
      </c>
      <c r="I90" s="1" t="s">
        <v>35</v>
      </c>
      <c r="J90" s="1" t="s">
        <v>63</v>
      </c>
    </row>
    <row r="91" spans="1:10" ht="19.5" customHeight="1" x14ac:dyDescent="0.25">
      <c r="A91" s="1" t="s">
        <v>4</v>
      </c>
      <c r="B91" s="1" t="str">
        <f>" 634"</f>
        <v xml:space="preserve"> 634</v>
      </c>
      <c r="C91" s="1" t="str">
        <f>"01"</f>
        <v>01</v>
      </c>
      <c r="D91" s="1" t="s">
        <v>62</v>
      </c>
      <c r="E91" s="1" t="str">
        <f>"12722"</f>
        <v>12722</v>
      </c>
      <c r="F91" s="1" t="s">
        <v>61</v>
      </c>
      <c r="G91" s="1" t="s">
        <v>60</v>
      </c>
      <c r="H91" s="1" t="s">
        <v>59</v>
      </c>
      <c r="I91" s="1" t="s">
        <v>23</v>
      </c>
      <c r="J91" s="1" t="s">
        <v>58</v>
      </c>
    </row>
    <row r="92" spans="1:10" ht="19.5" customHeight="1" x14ac:dyDescent="0.25">
      <c r="A92" s="1" t="s">
        <v>4</v>
      </c>
      <c r="B92" s="1" t="str">
        <f>" 637"</f>
        <v xml:space="preserve"> 637</v>
      </c>
      <c r="C92" s="1" t="str">
        <f>"01"</f>
        <v>01</v>
      </c>
      <c r="D92" s="1" t="s">
        <v>57</v>
      </c>
      <c r="E92" s="1" t="str">
        <f>"3760"</f>
        <v>3760</v>
      </c>
      <c r="F92" s="1" t="s">
        <v>56</v>
      </c>
      <c r="G92" s="1" t="s">
        <v>29</v>
      </c>
      <c r="H92" s="1" t="s">
        <v>28</v>
      </c>
      <c r="I92" s="1" t="s">
        <v>35</v>
      </c>
      <c r="J92" s="1" t="s">
        <v>22</v>
      </c>
    </row>
    <row r="93" spans="1:10" ht="19.5" customHeight="1" x14ac:dyDescent="0.25">
      <c r="A93" s="1" t="s">
        <v>4</v>
      </c>
      <c r="B93" s="1" t="str">
        <f>" 638"</f>
        <v xml:space="preserve"> 638</v>
      </c>
      <c r="C93" s="1" t="str">
        <f>"01"</f>
        <v>01</v>
      </c>
      <c r="D93" s="1" t="s">
        <v>55</v>
      </c>
      <c r="E93" s="1" t="str">
        <f>"3230"</f>
        <v>3230</v>
      </c>
      <c r="F93" s="1" t="s">
        <v>54</v>
      </c>
      <c r="G93" s="1" t="s">
        <v>45</v>
      </c>
      <c r="H93" s="1" t="s">
        <v>44</v>
      </c>
      <c r="I93" s="1" t="s">
        <v>35</v>
      </c>
      <c r="J93" s="1" t="s">
        <v>14</v>
      </c>
    </row>
    <row r="94" spans="1:10" ht="19.5" customHeight="1" x14ac:dyDescent="0.25">
      <c r="A94" s="1" t="s">
        <v>4</v>
      </c>
      <c r="B94" s="1" t="str">
        <f>" 642"</f>
        <v xml:space="preserve"> 642</v>
      </c>
      <c r="C94" s="1" t="str">
        <f>"01"</f>
        <v>01</v>
      </c>
      <c r="D94" s="1" t="s">
        <v>53</v>
      </c>
      <c r="E94" s="1" t="str">
        <f>"3688"</f>
        <v>3688</v>
      </c>
      <c r="F94" s="1" t="s">
        <v>52</v>
      </c>
      <c r="G94" s="1" t="s">
        <v>45</v>
      </c>
      <c r="H94" s="1" t="s">
        <v>44</v>
      </c>
      <c r="I94" s="1" t="s">
        <v>35</v>
      </c>
      <c r="J94" s="1" t="s">
        <v>5</v>
      </c>
    </row>
    <row r="95" spans="1:10" ht="19.5" customHeight="1" x14ac:dyDescent="0.25">
      <c r="A95" s="1" t="s">
        <v>4</v>
      </c>
      <c r="B95" s="1" t="str">
        <f>" 646"</f>
        <v xml:space="preserve"> 646</v>
      </c>
      <c r="C95" s="1" t="str">
        <f>"01"</f>
        <v>01</v>
      </c>
      <c r="D95" s="1" t="s">
        <v>51</v>
      </c>
      <c r="E95" s="1" t="str">
        <f>"2890"</f>
        <v>2890</v>
      </c>
      <c r="F95" s="1" t="s">
        <v>50</v>
      </c>
      <c r="G95" s="1" t="s">
        <v>49</v>
      </c>
      <c r="H95" s="1" t="s">
        <v>48</v>
      </c>
      <c r="I95" s="1" t="s">
        <v>23</v>
      </c>
      <c r="J95" s="1" t="s">
        <v>9</v>
      </c>
    </row>
    <row r="96" spans="1:10" ht="19.5" customHeight="1" x14ac:dyDescent="0.25">
      <c r="A96" s="1" t="s">
        <v>4</v>
      </c>
      <c r="B96" s="1" t="str">
        <f>" 651"</f>
        <v xml:space="preserve"> 651</v>
      </c>
      <c r="C96" s="1" t="str">
        <f>"01"</f>
        <v>01</v>
      </c>
      <c r="D96" s="1" t="s">
        <v>47</v>
      </c>
      <c r="E96" s="1" t="str">
        <f>"2334"</f>
        <v>2334</v>
      </c>
      <c r="F96" s="1" t="s">
        <v>46</v>
      </c>
      <c r="G96" s="1" t="s">
        <v>45</v>
      </c>
      <c r="H96" s="1" t="s">
        <v>44</v>
      </c>
      <c r="I96" s="1" t="s">
        <v>23</v>
      </c>
      <c r="J96" s="1" t="s">
        <v>43</v>
      </c>
    </row>
    <row r="97" spans="1:10" ht="19.5" customHeight="1" x14ac:dyDescent="0.25">
      <c r="A97" s="1" t="s">
        <v>4</v>
      </c>
      <c r="B97" s="1" t="str">
        <f>" 670"</f>
        <v xml:space="preserve"> 670</v>
      </c>
      <c r="C97" s="1" t="str">
        <f>"01"</f>
        <v>01</v>
      </c>
      <c r="D97" s="1" t="s">
        <v>42</v>
      </c>
      <c r="E97" s="1" t="str">
        <f>"3555"</f>
        <v>3555</v>
      </c>
      <c r="F97" s="1" t="s">
        <v>41</v>
      </c>
      <c r="G97" s="1" t="s">
        <v>29</v>
      </c>
      <c r="H97" s="1" t="s">
        <v>28</v>
      </c>
      <c r="I97" s="1" t="s">
        <v>35</v>
      </c>
      <c r="J97" s="1" t="s">
        <v>40</v>
      </c>
    </row>
    <row r="98" spans="1:10" ht="19.5" customHeight="1" x14ac:dyDescent="0.25">
      <c r="A98" s="1" t="s">
        <v>4</v>
      </c>
      <c r="B98" s="1" t="str">
        <f>" 672"</f>
        <v xml:space="preserve"> 672</v>
      </c>
      <c r="C98" s="1" t="str">
        <f>"02"</f>
        <v>02</v>
      </c>
      <c r="D98" s="1" t="s">
        <v>39</v>
      </c>
      <c r="E98" s="1" t="str">
        <f>"4558"</f>
        <v>4558</v>
      </c>
      <c r="F98" s="1" t="s">
        <v>38</v>
      </c>
      <c r="G98" s="1" t="s">
        <v>37</v>
      </c>
      <c r="H98" s="1" t="s">
        <v>36</v>
      </c>
      <c r="I98" s="1" t="s">
        <v>35</v>
      </c>
      <c r="J98" s="1" t="s">
        <v>34</v>
      </c>
    </row>
    <row r="99" spans="1:10" ht="19.5" customHeight="1" x14ac:dyDescent="0.25">
      <c r="A99" s="1" t="s">
        <v>4</v>
      </c>
      <c r="B99" s="1" t="str">
        <f>" 680"</f>
        <v xml:space="preserve"> 680</v>
      </c>
      <c r="C99" s="1" t="str">
        <f>"01"</f>
        <v>01</v>
      </c>
      <c r="D99" s="1" t="s">
        <v>33</v>
      </c>
      <c r="E99" s="1" t="str">
        <f>"1715"</f>
        <v>1715</v>
      </c>
      <c r="F99" s="1" t="s">
        <v>32</v>
      </c>
      <c r="G99" s="1" t="s">
        <v>25</v>
      </c>
      <c r="H99" s="1" t="s">
        <v>24</v>
      </c>
      <c r="I99" s="1" t="s">
        <v>23</v>
      </c>
      <c r="J99" s="1" t="s">
        <v>21</v>
      </c>
    </row>
    <row r="100" spans="1:10" ht="19.5" customHeight="1" x14ac:dyDescent="0.25">
      <c r="A100" s="1" t="s">
        <v>4</v>
      </c>
      <c r="B100" s="1" t="str">
        <f>" 681"</f>
        <v xml:space="preserve"> 681</v>
      </c>
      <c r="C100" s="1" t="str">
        <f>"01"</f>
        <v>01</v>
      </c>
      <c r="D100" s="1" t="s">
        <v>31</v>
      </c>
      <c r="E100" s="1" t="str">
        <f>"2699"</f>
        <v>2699</v>
      </c>
      <c r="F100" s="1" t="s">
        <v>30</v>
      </c>
      <c r="G100" s="1" t="s">
        <v>29</v>
      </c>
      <c r="H100" s="1" t="s">
        <v>28</v>
      </c>
      <c r="I100" s="1" t="s">
        <v>23</v>
      </c>
      <c r="J100" s="1" t="s">
        <v>21</v>
      </c>
    </row>
    <row r="101" spans="1:10" ht="19.5" customHeight="1" x14ac:dyDescent="0.25">
      <c r="A101" s="1" t="s">
        <v>4</v>
      </c>
      <c r="B101" s="1" t="str">
        <f>" 682"</f>
        <v xml:space="preserve"> 682</v>
      </c>
      <c r="C101" s="1" t="str">
        <f>"01"</f>
        <v>01</v>
      </c>
      <c r="D101" s="1" t="s">
        <v>27</v>
      </c>
      <c r="E101" s="1" t="str">
        <f>"2700"</f>
        <v>2700</v>
      </c>
      <c r="F101" s="1" t="s">
        <v>26</v>
      </c>
      <c r="G101" s="1" t="s">
        <v>25</v>
      </c>
      <c r="H101" s="1" t="s">
        <v>24</v>
      </c>
      <c r="I101" s="1" t="s">
        <v>23</v>
      </c>
      <c r="J101" s="1" t="s">
        <v>17</v>
      </c>
    </row>
    <row r="102" spans="1:10" ht="19.5" customHeight="1" x14ac:dyDescent="0.25">
      <c r="A102" s="1" t="s">
        <v>4</v>
      </c>
      <c r="B102" s="1" t="str">
        <f>" 696"</f>
        <v xml:space="preserve"> 696</v>
      </c>
      <c r="C102" s="1" t="str">
        <f>"01"</f>
        <v>01</v>
      </c>
      <c r="D102" s="1" t="s">
        <v>19</v>
      </c>
      <c r="E102" s="1" t="str">
        <f>"1656"</f>
        <v>1656</v>
      </c>
      <c r="F102" s="1" t="s">
        <v>2</v>
      </c>
      <c r="G102" s="1"/>
      <c r="H102" s="1"/>
      <c r="I102" s="1" t="s">
        <v>1</v>
      </c>
      <c r="J102" s="1" t="s">
        <v>11</v>
      </c>
    </row>
    <row r="103" spans="1:10" ht="19.5" customHeight="1" x14ac:dyDescent="0.25">
      <c r="A103" s="1" t="s">
        <v>4</v>
      </c>
      <c r="B103" s="1" t="str">
        <f>" 696"</f>
        <v xml:space="preserve"> 696</v>
      </c>
      <c r="C103" s="1" t="str">
        <f>"02"</f>
        <v>02</v>
      </c>
      <c r="D103" s="1" t="s">
        <v>19</v>
      </c>
      <c r="E103" s="1" t="str">
        <f>"1657"</f>
        <v>1657</v>
      </c>
      <c r="F103" s="1" t="s">
        <v>2</v>
      </c>
      <c r="G103" s="1"/>
      <c r="H103" s="1"/>
      <c r="I103" s="1" t="s">
        <v>1</v>
      </c>
      <c r="J103" s="1" t="s">
        <v>7</v>
      </c>
    </row>
    <row r="104" spans="1:10" ht="19.5" customHeight="1" x14ac:dyDescent="0.25">
      <c r="A104" s="1" t="s">
        <v>4</v>
      </c>
      <c r="B104" s="1" t="str">
        <f>" 696"</f>
        <v xml:space="preserve"> 696</v>
      </c>
      <c r="C104" s="1" t="str">
        <f>"03"</f>
        <v>03</v>
      </c>
      <c r="D104" s="1" t="s">
        <v>19</v>
      </c>
      <c r="E104" s="1" t="str">
        <f>"1658"</f>
        <v>1658</v>
      </c>
      <c r="F104" s="1" t="s">
        <v>2</v>
      </c>
      <c r="G104" s="1"/>
      <c r="H104" s="1"/>
      <c r="I104" s="1" t="s">
        <v>1</v>
      </c>
      <c r="J104" s="1" t="s">
        <v>17</v>
      </c>
    </row>
    <row r="105" spans="1:10" ht="19.5" customHeight="1" x14ac:dyDescent="0.25">
      <c r="A105" s="1" t="s">
        <v>4</v>
      </c>
      <c r="B105" s="1" t="str">
        <f>" 696"</f>
        <v xml:space="preserve"> 696</v>
      </c>
      <c r="C105" s="1" t="str">
        <f>"04"</f>
        <v>04</v>
      </c>
      <c r="D105" s="1" t="s">
        <v>19</v>
      </c>
      <c r="E105" s="1" t="str">
        <f>"1659"</f>
        <v>1659</v>
      </c>
      <c r="F105" s="1" t="s">
        <v>2</v>
      </c>
      <c r="G105" s="1"/>
      <c r="H105" s="1"/>
      <c r="I105" s="1" t="s">
        <v>1</v>
      </c>
      <c r="J105" s="1" t="s">
        <v>22</v>
      </c>
    </row>
    <row r="106" spans="1:10" ht="19.5" customHeight="1" x14ac:dyDescent="0.25">
      <c r="A106" s="1" t="s">
        <v>4</v>
      </c>
      <c r="B106" s="1" t="str">
        <f>" 696"</f>
        <v xml:space="preserve"> 696</v>
      </c>
      <c r="C106" s="1" t="str">
        <f>"05"</f>
        <v>05</v>
      </c>
      <c r="D106" s="1" t="s">
        <v>19</v>
      </c>
      <c r="E106" s="1" t="str">
        <f>"1660"</f>
        <v>1660</v>
      </c>
      <c r="F106" s="1" t="s">
        <v>2</v>
      </c>
      <c r="G106" s="1"/>
      <c r="H106" s="1"/>
      <c r="I106" s="1" t="s">
        <v>1</v>
      </c>
      <c r="J106" s="1" t="s">
        <v>5</v>
      </c>
    </row>
    <row r="107" spans="1:10" ht="19.5" customHeight="1" x14ac:dyDescent="0.25">
      <c r="A107" s="1" t="s">
        <v>4</v>
      </c>
      <c r="B107" s="1" t="str">
        <f>" 696"</f>
        <v xml:space="preserve"> 696</v>
      </c>
      <c r="C107" s="1" t="str">
        <f>"06"</f>
        <v>06</v>
      </c>
      <c r="D107" s="1" t="s">
        <v>19</v>
      </c>
      <c r="E107" s="1" t="str">
        <f>"1661"</f>
        <v>1661</v>
      </c>
      <c r="F107" s="1" t="s">
        <v>2</v>
      </c>
      <c r="G107" s="1"/>
      <c r="H107" s="1"/>
      <c r="I107" s="1" t="s">
        <v>1</v>
      </c>
      <c r="J107" s="1" t="s">
        <v>21</v>
      </c>
    </row>
    <row r="108" spans="1:10" ht="19.5" customHeight="1" x14ac:dyDescent="0.25">
      <c r="A108" s="1" t="s">
        <v>4</v>
      </c>
      <c r="B108" s="1" t="str">
        <f>" 696"</f>
        <v xml:space="preserve"> 696</v>
      </c>
      <c r="C108" s="1" t="str">
        <f>"07"</f>
        <v>07</v>
      </c>
      <c r="D108" s="1" t="s">
        <v>19</v>
      </c>
      <c r="E108" s="1" t="str">
        <f>"1662"</f>
        <v>1662</v>
      </c>
      <c r="F108" s="1" t="s">
        <v>2</v>
      </c>
      <c r="G108" s="1"/>
      <c r="H108" s="1"/>
      <c r="I108" s="1" t="s">
        <v>1</v>
      </c>
      <c r="J108" s="1" t="s">
        <v>12</v>
      </c>
    </row>
    <row r="109" spans="1:10" ht="19.5" customHeight="1" x14ac:dyDescent="0.25">
      <c r="A109" s="1" t="s">
        <v>4</v>
      </c>
      <c r="B109" s="1" t="str">
        <f>" 696"</f>
        <v xml:space="preserve"> 696</v>
      </c>
      <c r="C109" s="1" t="str">
        <f>"08"</f>
        <v>08</v>
      </c>
      <c r="D109" s="1" t="s">
        <v>19</v>
      </c>
      <c r="E109" s="1" t="str">
        <f>"1663"</f>
        <v>1663</v>
      </c>
      <c r="F109" s="1" t="s">
        <v>2</v>
      </c>
      <c r="G109" s="1"/>
      <c r="H109" s="1"/>
      <c r="I109" s="1" t="s">
        <v>1</v>
      </c>
      <c r="J109" s="1" t="s">
        <v>20</v>
      </c>
    </row>
    <row r="110" spans="1:10" ht="19.5" customHeight="1" x14ac:dyDescent="0.25">
      <c r="A110" s="1" t="s">
        <v>4</v>
      </c>
      <c r="B110" s="1" t="str">
        <f>" 696"</f>
        <v xml:space="preserve"> 696</v>
      </c>
      <c r="C110" s="1" t="str">
        <f>"09"</f>
        <v>09</v>
      </c>
      <c r="D110" s="1" t="s">
        <v>19</v>
      </c>
      <c r="E110" s="1" t="str">
        <f>"1664"</f>
        <v>1664</v>
      </c>
      <c r="F110" s="1" t="s">
        <v>2</v>
      </c>
      <c r="G110" s="1"/>
      <c r="H110" s="1"/>
      <c r="I110" s="1" t="s">
        <v>1</v>
      </c>
      <c r="J110" s="1" t="s">
        <v>14</v>
      </c>
    </row>
    <row r="111" spans="1:10" ht="19.5" customHeight="1" x14ac:dyDescent="0.25">
      <c r="A111" s="1" t="s">
        <v>4</v>
      </c>
      <c r="B111" s="1" t="str">
        <f>" 696"</f>
        <v xml:space="preserve"> 696</v>
      </c>
      <c r="C111" s="1" t="str">
        <f>"10"</f>
        <v>10</v>
      </c>
      <c r="D111" s="1" t="s">
        <v>19</v>
      </c>
      <c r="E111" s="1" t="str">
        <f>"1665"</f>
        <v>1665</v>
      </c>
      <c r="F111" s="1" t="s">
        <v>2</v>
      </c>
      <c r="G111" s="1"/>
      <c r="H111" s="1"/>
      <c r="I111" s="1" t="s">
        <v>1</v>
      </c>
      <c r="J111" s="1" t="s">
        <v>8</v>
      </c>
    </row>
    <row r="112" spans="1:10" ht="19.5" customHeight="1" x14ac:dyDescent="0.25">
      <c r="A112" s="1" t="s">
        <v>4</v>
      </c>
      <c r="B112" s="1" t="str">
        <f>" 698"</f>
        <v xml:space="preserve"> 698</v>
      </c>
      <c r="C112" s="1" t="str">
        <f>"01"</f>
        <v>01</v>
      </c>
      <c r="D112" s="1" t="s">
        <v>16</v>
      </c>
      <c r="E112" s="1" t="str">
        <f>"1791"</f>
        <v>1791</v>
      </c>
      <c r="F112" s="1" t="s">
        <v>2</v>
      </c>
      <c r="G112" s="1"/>
      <c r="H112" s="1"/>
      <c r="I112" s="1" t="s">
        <v>1</v>
      </c>
      <c r="J112" s="1" t="s">
        <v>18</v>
      </c>
    </row>
    <row r="113" spans="1:10" ht="19.5" customHeight="1" x14ac:dyDescent="0.25">
      <c r="A113" s="1" t="s">
        <v>4</v>
      </c>
      <c r="B113" s="1" t="str">
        <f>" 698"</f>
        <v xml:space="preserve"> 698</v>
      </c>
      <c r="C113" s="1" t="str">
        <f>"02"</f>
        <v>02</v>
      </c>
      <c r="D113" s="1" t="s">
        <v>16</v>
      </c>
      <c r="E113" s="1" t="str">
        <f>"2160"</f>
        <v>2160</v>
      </c>
      <c r="F113" s="1" t="s">
        <v>2</v>
      </c>
      <c r="G113" s="1"/>
      <c r="H113" s="1"/>
      <c r="I113" s="1" t="s">
        <v>1</v>
      </c>
      <c r="J113" s="1" t="s">
        <v>17</v>
      </c>
    </row>
    <row r="114" spans="1:10" ht="19.5" customHeight="1" x14ac:dyDescent="0.25">
      <c r="A114" s="1" t="s">
        <v>4</v>
      </c>
      <c r="B114" s="1" t="str">
        <f>" 698"</f>
        <v xml:space="preserve"> 698</v>
      </c>
      <c r="C114" s="1" t="str">
        <f>"03"</f>
        <v>03</v>
      </c>
      <c r="D114" s="1" t="s">
        <v>16</v>
      </c>
      <c r="E114" s="1" t="str">
        <f>"2382"</f>
        <v>2382</v>
      </c>
      <c r="F114" s="1" t="s">
        <v>2</v>
      </c>
      <c r="G114" s="1"/>
      <c r="H114" s="1"/>
      <c r="I114" s="1" t="s">
        <v>1</v>
      </c>
      <c r="J114" s="1" t="s">
        <v>8</v>
      </c>
    </row>
    <row r="115" spans="1:10" ht="19.5" customHeight="1" x14ac:dyDescent="0.25">
      <c r="A115" s="1" t="s">
        <v>4</v>
      </c>
      <c r="B115" s="1" t="str">
        <f>" 698"</f>
        <v xml:space="preserve"> 698</v>
      </c>
      <c r="C115" s="1" t="str">
        <f>"04"</f>
        <v>04</v>
      </c>
      <c r="D115" s="1" t="s">
        <v>16</v>
      </c>
      <c r="E115" s="1" t="str">
        <f>"2468"</f>
        <v>2468</v>
      </c>
      <c r="F115" s="1" t="s">
        <v>2</v>
      </c>
      <c r="G115" s="1"/>
      <c r="H115" s="1"/>
      <c r="I115" s="1" t="s">
        <v>1</v>
      </c>
      <c r="J115" s="1" t="s">
        <v>5</v>
      </c>
    </row>
    <row r="116" spans="1:10" ht="19.5" customHeight="1" x14ac:dyDescent="0.25">
      <c r="A116" s="1" t="s">
        <v>4</v>
      </c>
      <c r="B116" s="1" t="str">
        <f>" 698"</f>
        <v xml:space="preserve"> 698</v>
      </c>
      <c r="C116" s="1" t="str">
        <f>"05"</f>
        <v>05</v>
      </c>
      <c r="D116" s="1" t="s">
        <v>16</v>
      </c>
      <c r="E116" s="1" t="str">
        <f>"2469"</f>
        <v>2469</v>
      </c>
      <c r="F116" s="1" t="s">
        <v>2</v>
      </c>
      <c r="G116" s="1"/>
      <c r="H116" s="1"/>
      <c r="I116" s="1" t="s">
        <v>1</v>
      </c>
      <c r="J116" s="1" t="s">
        <v>13</v>
      </c>
    </row>
    <row r="117" spans="1:10" ht="19.5" customHeight="1" x14ac:dyDescent="0.25">
      <c r="A117" s="1" t="s">
        <v>4</v>
      </c>
      <c r="B117" s="1" t="str">
        <f>" 699"</f>
        <v xml:space="preserve"> 699</v>
      </c>
      <c r="C117" s="1" t="str">
        <f>"01"</f>
        <v>01</v>
      </c>
      <c r="D117" s="1" t="s">
        <v>15</v>
      </c>
      <c r="E117" s="1" t="str">
        <f>"1159"</f>
        <v>1159</v>
      </c>
      <c r="F117" s="1" t="s">
        <v>2</v>
      </c>
      <c r="G117" s="1"/>
      <c r="H117" s="1"/>
      <c r="I117" s="1" t="s">
        <v>1</v>
      </c>
      <c r="J117" s="1" t="s">
        <v>8</v>
      </c>
    </row>
    <row r="118" spans="1:10" ht="19.5" customHeight="1" x14ac:dyDescent="0.25">
      <c r="A118" s="1" t="s">
        <v>4</v>
      </c>
      <c r="B118" s="1" t="str">
        <f>" 699"</f>
        <v xml:space="preserve"> 699</v>
      </c>
      <c r="C118" s="1" t="str">
        <f>"02"</f>
        <v>02</v>
      </c>
      <c r="D118" s="1" t="s">
        <v>15</v>
      </c>
      <c r="E118" s="1" t="str">
        <f>"1992"</f>
        <v>1992</v>
      </c>
      <c r="F118" s="1" t="s">
        <v>2</v>
      </c>
      <c r="G118" s="1"/>
      <c r="H118" s="1"/>
      <c r="I118" s="1" t="s">
        <v>1</v>
      </c>
      <c r="J118" s="1"/>
    </row>
    <row r="119" spans="1:10" ht="19.5" customHeight="1" x14ac:dyDescent="0.25">
      <c r="A119" s="1" t="s">
        <v>4</v>
      </c>
      <c r="B119" s="1" t="str">
        <f>" 699"</f>
        <v xml:space="preserve"> 699</v>
      </c>
      <c r="C119" s="1" t="str">
        <f>"03"</f>
        <v>03</v>
      </c>
      <c r="D119" s="1" t="s">
        <v>15</v>
      </c>
      <c r="E119" s="1" t="str">
        <f>"2047"</f>
        <v>2047</v>
      </c>
      <c r="F119" s="1" t="s">
        <v>2</v>
      </c>
      <c r="G119" s="1"/>
      <c r="H119" s="1"/>
      <c r="I119" s="1" t="s">
        <v>1</v>
      </c>
      <c r="J119" s="1"/>
    </row>
    <row r="120" spans="1:10" ht="19.5" customHeight="1" x14ac:dyDescent="0.25">
      <c r="A120" s="1" t="s">
        <v>4</v>
      </c>
      <c r="B120" s="1" t="str">
        <f>" 699"</f>
        <v xml:space="preserve"> 699</v>
      </c>
      <c r="C120" s="1" t="str">
        <f>"04"</f>
        <v>04</v>
      </c>
      <c r="D120" s="1" t="s">
        <v>15</v>
      </c>
      <c r="E120" s="1" t="str">
        <f>"2048"</f>
        <v>2048</v>
      </c>
      <c r="F120" s="1" t="s">
        <v>2</v>
      </c>
      <c r="G120" s="1"/>
      <c r="H120" s="1"/>
      <c r="I120" s="1" t="s">
        <v>1</v>
      </c>
      <c r="J120" s="1"/>
    </row>
    <row r="121" spans="1:10" ht="19.5" customHeight="1" x14ac:dyDescent="0.25">
      <c r="A121" s="1" t="s">
        <v>4</v>
      </c>
      <c r="B121" s="1" t="str">
        <f>" 899"</f>
        <v xml:space="preserve"> 899</v>
      </c>
      <c r="C121" s="1" t="str">
        <f>"01"</f>
        <v>01</v>
      </c>
      <c r="D121" s="1" t="s">
        <v>3</v>
      </c>
      <c r="E121" s="1" t="str">
        <f>"1160"</f>
        <v>1160</v>
      </c>
      <c r="F121" s="1" t="s">
        <v>2</v>
      </c>
      <c r="G121" s="1"/>
      <c r="H121" s="1"/>
      <c r="I121" s="1" t="s">
        <v>1</v>
      </c>
      <c r="J121" s="1" t="s">
        <v>14</v>
      </c>
    </row>
    <row r="122" spans="1:10" ht="19.5" customHeight="1" x14ac:dyDescent="0.25">
      <c r="A122" s="1" t="s">
        <v>4</v>
      </c>
      <c r="B122" s="1" t="str">
        <f>" 899"</f>
        <v xml:space="preserve"> 899</v>
      </c>
      <c r="C122" s="1" t="str">
        <f>"02"</f>
        <v>02</v>
      </c>
      <c r="D122" s="1" t="s">
        <v>3</v>
      </c>
      <c r="E122" s="1" t="str">
        <f>"1161"</f>
        <v>1161</v>
      </c>
      <c r="F122" s="1" t="s">
        <v>2</v>
      </c>
      <c r="G122" s="1"/>
      <c r="H122" s="1"/>
      <c r="I122" s="1" t="s">
        <v>1</v>
      </c>
      <c r="J122" s="1" t="s">
        <v>13</v>
      </c>
    </row>
    <row r="123" spans="1:10" ht="19.5" customHeight="1" x14ac:dyDescent="0.25">
      <c r="A123" s="1" t="s">
        <v>4</v>
      </c>
      <c r="B123" s="1" t="str">
        <f>" 899"</f>
        <v xml:space="preserve"> 899</v>
      </c>
      <c r="C123" s="1" t="str">
        <f>"03"</f>
        <v>03</v>
      </c>
      <c r="D123" s="1" t="s">
        <v>3</v>
      </c>
      <c r="E123" s="1" t="str">
        <f>"1162"</f>
        <v>1162</v>
      </c>
      <c r="F123" s="1" t="s">
        <v>2</v>
      </c>
      <c r="G123" s="1"/>
      <c r="H123" s="1"/>
      <c r="I123" s="1" t="s">
        <v>1</v>
      </c>
      <c r="J123" s="1" t="s">
        <v>12</v>
      </c>
    </row>
    <row r="124" spans="1:10" ht="19.5" customHeight="1" x14ac:dyDescent="0.25">
      <c r="A124" s="1" t="s">
        <v>4</v>
      </c>
      <c r="B124" s="1" t="str">
        <f>" 899"</f>
        <v xml:space="preserve"> 899</v>
      </c>
      <c r="C124" s="1" t="str">
        <f>"04"</f>
        <v>04</v>
      </c>
      <c r="D124" s="1" t="s">
        <v>3</v>
      </c>
      <c r="E124" s="1" t="str">
        <f>"1163"</f>
        <v>1163</v>
      </c>
      <c r="F124" s="1" t="s">
        <v>2</v>
      </c>
      <c r="G124" s="1"/>
      <c r="H124" s="1"/>
      <c r="I124" s="1" t="s">
        <v>1</v>
      </c>
      <c r="J124" s="1" t="s">
        <v>11</v>
      </c>
    </row>
    <row r="125" spans="1:10" ht="19.5" customHeight="1" x14ac:dyDescent="0.25">
      <c r="A125" s="1" t="s">
        <v>4</v>
      </c>
      <c r="B125" s="1" t="str">
        <f>" 899"</f>
        <v xml:space="preserve"> 899</v>
      </c>
      <c r="C125" s="1" t="str">
        <f>"05"</f>
        <v>05</v>
      </c>
      <c r="D125" s="1" t="s">
        <v>3</v>
      </c>
      <c r="E125" s="1" t="str">
        <f>"1164"</f>
        <v>1164</v>
      </c>
      <c r="F125" s="1" t="s">
        <v>2</v>
      </c>
      <c r="G125" s="1"/>
      <c r="H125" s="1"/>
      <c r="I125" s="1" t="s">
        <v>1</v>
      </c>
      <c r="J125" s="1" t="s">
        <v>10</v>
      </c>
    </row>
    <row r="126" spans="1:10" ht="19.5" customHeight="1" x14ac:dyDescent="0.25">
      <c r="A126" s="1" t="s">
        <v>4</v>
      </c>
      <c r="B126" s="1" t="str">
        <f>" 899"</f>
        <v xml:space="preserve"> 899</v>
      </c>
      <c r="C126" s="1" t="str">
        <f>"06"</f>
        <v>06</v>
      </c>
      <c r="D126" s="1" t="s">
        <v>3</v>
      </c>
      <c r="E126" s="1" t="str">
        <f>"1165"</f>
        <v>1165</v>
      </c>
      <c r="F126" s="1" t="s">
        <v>2</v>
      </c>
      <c r="G126" s="1"/>
      <c r="H126" s="1"/>
      <c r="I126" s="1" t="s">
        <v>1</v>
      </c>
      <c r="J126" s="1" t="s">
        <v>9</v>
      </c>
    </row>
    <row r="127" spans="1:10" ht="19.5" customHeight="1" x14ac:dyDescent="0.25">
      <c r="A127" s="1" t="s">
        <v>4</v>
      </c>
      <c r="B127" s="1" t="str">
        <f>" 899"</f>
        <v xml:space="preserve"> 899</v>
      </c>
      <c r="C127" s="1" t="str">
        <f>"07"</f>
        <v>07</v>
      </c>
      <c r="D127" s="1" t="s">
        <v>3</v>
      </c>
      <c r="E127" s="1" t="str">
        <f>"2087"</f>
        <v>2087</v>
      </c>
      <c r="F127" s="1" t="s">
        <v>2</v>
      </c>
      <c r="G127" s="1"/>
      <c r="H127" s="1"/>
      <c r="I127" s="1" t="s">
        <v>1</v>
      </c>
      <c r="J127" s="1" t="s">
        <v>8</v>
      </c>
    </row>
    <row r="128" spans="1:10" ht="19.5" customHeight="1" x14ac:dyDescent="0.25">
      <c r="A128" s="1" t="s">
        <v>4</v>
      </c>
      <c r="B128" s="1" t="str">
        <f>" 899"</f>
        <v xml:space="preserve"> 899</v>
      </c>
      <c r="C128" s="1" t="str">
        <f>"08"</f>
        <v>08</v>
      </c>
      <c r="D128" s="1" t="s">
        <v>3</v>
      </c>
      <c r="E128" s="1" t="str">
        <f>"2088"</f>
        <v>2088</v>
      </c>
      <c r="F128" s="1" t="s">
        <v>2</v>
      </c>
      <c r="G128" s="1"/>
      <c r="H128" s="1"/>
      <c r="I128" s="1" t="s">
        <v>1</v>
      </c>
      <c r="J128" s="1" t="s">
        <v>7</v>
      </c>
    </row>
    <row r="129" spans="1:10" ht="19.5" customHeight="1" x14ac:dyDescent="0.25">
      <c r="A129" s="1" t="s">
        <v>4</v>
      </c>
      <c r="B129" s="1" t="str">
        <f>" 899"</f>
        <v xml:space="preserve"> 899</v>
      </c>
      <c r="C129" s="1" t="str">
        <f>"09"</f>
        <v>09</v>
      </c>
      <c r="D129" s="1" t="s">
        <v>3</v>
      </c>
      <c r="E129" s="1" t="str">
        <f>"2482"</f>
        <v>2482</v>
      </c>
      <c r="F129" s="1" t="s">
        <v>2</v>
      </c>
      <c r="G129" s="1"/>
      <c r="H129" s="1"/>
      <c r="I129" s="1" t="s">
        <v>1</v>
      </c>
      <c r="J129" s="1" t="s">
        <v>6</v>
      </c>
    </row>
    <row r="130" spans="1:10" ht="19.5" customHeight="1" x14ac:dyDescent="0.25">
      <c r="A130" s="1" t="s">
        <v>4</v>
      </c>
      <c r="B130" s="1" t="str">
        <f>" 899"</f>
        <v xml:space="preserve"> 899</v>
      </c>
      <c r="C130" s="1" t="str">
        <f>"10"</f>
        <v>10</v>
      </c>
      <c r="D130" s="1" t="s">
        <v>3</v>
      </c>
      <c r="E130" s="1" t="str">
        <f>"2562"</f>
        <v>2562</v>
      </c>
      <c r="F130" s="1" t="s">
        <v>2</v>
      </c>
      <c r="G130" s="1"/>
      <c r="H130" s="1"/>
      <c r="I130" s="1" t="s">
        <v>1</v>
      </c>
      <c r="J130" s="1" t="s">
        <v>5</v>
      </c>
    </row>
    <row r="131" spans="1:10" ht="19.5" customHeight="1" x14ac:dyDescent="0.25">
      <c r="A131" s="1" t="s">
        <v>4</v>
      </c>
      <c r="B131" s="1" t="str">
        <f>" 899"</f>
        <v xml:space="preserve"> 899</v>
      </c>
      <c r="C131" s="1" t="str">
        <f>"11"</f>
        <v>11</v>
      </c>
      <c r="D131" s="1" t="s">
        <v>3</v>
      </c>
      <c r="E131" s="1" t="str">
        <f>"2802"</f>
        <v>2802</v>
      </c>
      <c r="F131" s="1" t="s">
        <v>2</v>
      </c>
      <c r="G131" s="1"/>
      <c r="H131" s="1"/>
      <c r="I131" s="1" t="s">
        <v>1</v>
      </c>
      <c r="J131" s="1" t="s">
        <v>0</v>
      </c>
    </row>
  </sheetData>
  <pageMargins left="0.25" right="0.25" top="0.75" bottom="0.75" header="0.3" footer="0.3"/>
  <pageSetup orientation="landscape" r:id="rId1"/>
  <headerFooter>
    <oddHeader>&amp;C&amp;"-,Bold"&amp;22 2026 Fall Computer Science Schedule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CSIT 26F (Web)</vt:lpstr>
      <vt:lpstr>'CSIT 26F (Web)'!Print_Titles</vt:lpstr>
    </vt:vector>
  </TitlesOfParts>
  <Company>University of Massachusetts Boston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Gemma Galecia</dc:creator>
  <cp:lastModifiedBy>Gemma Galecia</cp:lastModifiedBy>
  <dcterms:created xsi:type="dcterms:W3CDTF">2026-05-20T19:22:53Z</dcterms:created>
  <dcterms:modified xsi:type="dcterms:W3CDTF">2026-05-20T19:24:24Z</dcterms:modified>
</cp:coreProperties>
</file>